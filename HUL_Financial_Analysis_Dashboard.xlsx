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lsrvcdf" ContentType="image/p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media/image4.xlsrvcdf" ContentType="image/jpeg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BD8C0EC8-F9AA-400D-9202-6A285B46C880}" xr6:coauthVersionLast="47" xr6:coauthVersionMax="47" xr10:uidLastSave="{00000000-0000-0000-0000-000000000000}"/>
  <bookViews>
    <workbookView xWindow="240" yWindow="105" windowWidth="14805" windowHeight="8010" firstSheet="8" activeTab="8" xr2:uid="{00000000-000D-0000-FFFF-FFFF00000000}"/>
  </bookViews>
  <sheets>
    <sheet name="ReadMe" sheetId="2" r:id="rId1"/>
    <sheet name="Raw Data" sheetId="1" r:id="rId2"/>
    <sheet name="Ratios" sheetId="3" r:id="rId3"/>
    <sheet name="Common Size and Trend" sheetId="6" r:id="rId4"/>
    <sheet name="DuPont Analysis" sheetId="7" r:id="rId5"/>
    <sheet name="Forecast &amp; Scenario" sheetId="8" r:id="rId6"/>
    <sheet name="Valuation Analysis" sheetId="9" r:id="rId7"/>
    <sheet name="Insights" sheetId="5" r:id="rId8"/>
    <sheet name="Dashboard" sheetId="4" r:id="rId9"/>
  </sheets>
  <definedNames>
    <definedName name="_xlnm._FilterDatabase" localSheetId="2" hidden="1">Ratios!$C$4:$F$4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2" i="3" l="1"/>
  <c r="F19" i="3"/>
  <c r="D18" i="3"/>
  <c r="E18" i="3"/>
  <c r="F18" i="3"/>
  <c r="C18" i="3"/>
  <c r="D19" i="3"/>
  <c r="C19" i="3"/>
  <c r="E19" i="3"/>
  <c r="B19" i="3"/>
  <c r="B18" i="3"/>
  <c r="J5" i="4"/>
  <c r="G5" i="4"/>
  <c r="D5" i="4"/>
  <c r="A5" i="4"/>
  <c r="F4" i="3"/>
  <c r="C4" i="3"/>
  <c r="J63" i="4"/>
  <c r="G63" i="4"/>
  <c r="D63" i="4"/>
  <c r="A63" i="4"/>
  <c r="C20" i="9"/>
  <c r="D20" i="9"/>
  <c r="E20" i="9"/>
  <c r="F20" i="9"/>
  <c r="B20" i="9"/>
  <c r="B16" i="9"/>
  <c r="B15" i="9"/>
  <c r="B14" i="9"/>
  <c r="B13" i="9"/>
  <c r="B7" i="9"/>
  <c r="B6" i="9"/>
  <c r="B5" i="9"/>
  <c r="B4" i="9"/>
  <c r="E22" i="8"/>
  <c r="E21" i="8"/>
  <c r="E20" i="8"/>
  <c r="D22" i="8"/>
  <c r="D21" i="8"/>
  <c r="D20" i="8"/>
  <c r="C22" i="8"/>
  <c r="C21" i="8"/>
  <c r="C20" i="8"/>
  <c r="B22" i="8"/>
  <c r="B17" i="8"/>
  <c r="B21" i="8"/>
  <c r="B16" i="8"/>
  <c r="B20" i="8"/>
  <c r="E17" i="8"/>
  <c r="B15" i="8"/>
  <c r="C15" i="8"/>
  <c r="B12" i="8"/>
  <c r="B11" i="8"/>
  <c r="B10" i="8"/>
  <c r="C10" i="8" s="1"/>
  <c r="D9" i="7"/>
  <c r="E9" i="7"/>
  <c r="F9" i="7"/>
  <c r="C9" i="7"/>
  <c r="D6" i="7"/>
  <c r="E6" i="7"/>
  <c r="F6" i="7"/>
  <c r="D7" i="7"/>
  <c r="E7" i="7"/>
  <c r="F7" i="7"/>
  <c r="C8" i="7"/>
  <c r="D8" i="7"/>
  <c r="E8" i="7"/>
  <c r="F8" i="7"/>
  <c r="C5" i="7"/>
  <c r="D5" i="7"/>
  <c r="E5" i="7"/>
  <c r="F5" i="7"/>
  <c r="C7" i="7"/>
  <c r="B5" i="7"/>
  <c r="C18" i="6"/>
  <c r="D18" i="6"/>
  <c r="E18" i="6"/>
  <c r="F18" i="6"/>
  <c r="B18" i="6"/>
  <c r="C17" i="6"/>
  <c r="D17" i="6"/>
  <c r="E17" i="6"/>
  <c r="F17" i="6"/>
  <c r="B17" i="6"/>
  <c r="C16" i="6"/>
  <c r="D16" i="6"/>
  <c r="E16" i="6"/>
  <c r="F16" i="6"/>
  <c r="B16" i="6"/>
  <c r="C15" i="6"/>
  <c r="D15" i="6"/>
  <c r="E15" i="6"/>
  <c r="F15" i="6"/>
  <c r="B15" i="6"/>
  <c r="C14" i="6"/>
  <c r="D14" i="6"/>
  <c r="E14" i="6"/>
  <c r="F14" i="6"/>
  <c r="B14" i="6"/>
  <c r="C12" i="6"/>
  <c r="D12" i="6"/>
  <c r="E12" i="6"/>
  <c r="F12" i="6"/>
  <c r="B12" i="6"/>
  <c r="C11" i="6"/>
  <c r="D11" i="6"/>
  <c r="E11" i="6"/>
  <c r="F11" i="6"/>
  <c r="B11" i="6"/>
  <c r="C10" i="6"/>
  <c r="D10" i="6"/>
  <c r="E10" i="6"/>
  <c r="F10" i="6"/>
  <c r="B10" i="6"/>
  <c r="C8" i="6"/>
  <c r="D8" i="6"/>
  <c r="E8" i="6"/>
  <c r="F8" i="6"/>
  <c r="B8" i="6"/>
  <c r="C7" i="6"/>
  <c r="D7" i="6"/>
  <c r="E7" i="6"/>
  <c r="F7" i="6"/>
  <c r="B7" i="6"/>
  <c r="F6" i="6"/>
  <c r="C6" i="6"/>
  <c r="D6" i="6"/>
  <c r="E6" i="6"/>
  <c r="B6" i="6"/>
  <c r="C5" i="6"/>
  <c r="D5" i="6"/>
  <c r="E5" i="6"/>
  <c r="F5" i="6"/>
  <c r="B5" i="6"/>
  <c r="B29" i="3"/>
  <c r="B28" i="3"/>
  <c r="B27" i="3"/>
  <c r="C24" i="3"/>
  <c r="D24" i="3"/>
  <c r="E24" i="3"/>
  <c r="F24" i="3"/>
  <c r="B24" i="3"/>
  <c r="C23" i="3"/>
  <c r="D23" i="3"/>
  <c r="E23" i="3"/>
  <c r="F23" i="3"/>
  <c r="B23" i="3"/>
  <c r="C22" i="3"/>
  <c r="C25" i="3" s="1"/>
  <c r="D22" i="3"/>
  <c r="D25" i="3" s="1"/>
  <c r="E22" i="3"/>
  <c r="E25" i="3" s="1"/>
  <c r="F22" i="3"/>
  <c r="F25" i="3" s="1"/>
  <c r="B22" i="3"/>
  <c r="B25" i="3" s="1"/>
  <c r="C14" i="3"/>
  <c r="C15" i="3" s="1"/>
  <c r="D14" i="3"/>
  <c r="D15" i="3" s="1"/>
  <c r="E14" i="3"/>
  <c r="E15" i="3" s="1"/>
  <c r="F14" i="3"/>
  <c r="F15" i="3" s="1"/>
  <c r="B14" i="3"/>
  <c r="B15" i="3" s="1"/>
  <c r="D12" i="3"/>
  <c r="E12" i="3"/>
  <c r="F12" i="3"/>
  <c r="C11" i="3"/>
  <c r="D11" i="3"/>
  <c r="E11" i="3"/>
  <c r="F11" i="3"/>
  <c r="B11" i="3"/>
  <c r="C9" i="3"/>
  <c r="D9" i="3"/>
  <c r="E9" i="3"/>
  <c r="F9" i="3"/>
  <c r="B9" i="3"/>
  <c r="C8" i="3"/>
  <c r="D8" i="3"/>
  <c r="E8" i="3"/>
  <c r="F8" i="3"/>
  <c r="B8" i="3"/>
  <c r="D6" i="3"/>
  <c r="E6" i="3"/>
  <c r="F6" i="3"/>
  <c r="C6" i="3"/>
  <c r="D5" i="3"/>
  <c r="E5" i="3"/>
  <c r="F5" i="3"/>
  <c r="C5" i="3"/>
  <c r="D4" i="3"/>
  <c r="E4" i="3"/>
  <c r="D15" i="8" l="1"/>
  <c r="C17" i="8"/>
  <c r="C16" i="8"/>
  <c r="D10" i="8"/>
  <c r="C12" i="8"/>
  <c r="C11" i="8"/>
  <c r="E15" i="8" l="1"/>
  <c r="E16" i="8" s="1"/>
  <c r="D17" i="8"/>
  <c r="D16" i="8"/>
  <c r="E10" i="8"/>
  <c r="D12" i="8"/>
  <c r="D11" i="8"/>
  <c r="E12" i="8" l="1"/>
  <c r="E11" i="8"/>
</calcChain>
</file>

<file path=xl/sharedStrings.xml><?xml version="1.0" encoding="utf-8"?>
<sst xmlns="http://schemas.openxmlformats.org/spreadsheetml/2006/main" count="255" uniqueCount="203">
  <si>
    <t>Hindustan Uniliver Limited (HUL)</t>
  </si>
  <si>
    <t>Company</t>
  </si>
  <si>
    <t>Hindustan Unilever Limited (HUL)</t>
  </si>
  <si>
    <t>Analysis Period</t>
  </si>
  <si>
    <t>FY2020-21 to FY2024-25</t>
  </si>
  <si>
    <t>Financial Basis</t>
  </si>
  <si>
    <t>Standalone Financial Statements</t>
  </si>
  <si>
    <t>Currency</t>
  </si>
  <si>
    <t>₹ Crore</t>
  </si>
  <si>
    <t>Tool</t>
  </si>
  <si>
    <t>Microsoft Excel</t>
  </si>
  <si>
    <t>Data Sources</t>
  </si>
  <si>
    <t>HUL Annual Reports &amp; Historical Financial Performance</t>
  </si>
  <si>
    <t>Purpose</t>
  </si>
  <si>
    <t>Analyse HUL's growth, profitability, returns, leverage and working-capital efficiency</t>
  </si>
  <si>
    <t>Methodology Section</t>
  </si>
  <si>
    <t>Key Metrics Section</t>
  </si>
  <si>
    <t>• Revenue, EBITDA and PAT growth calculated using YoY growth rates.</t>
  </si>
  <si>
    <t>Revenue Growth</t>
  </si>
  <si>
    <t>• EBITDA Margin = EBITDA / Revenue.</t>
  </si>
  <si>
    <t>EBITDA Growth</t>
  </si>
  <si>
    <t>• PAT Margin = PAT / Revenue.</t>
  </si>
  <si>
    <t>PAT Growth</t>
  </si>
  <si>
    <t>• ROE = PAT / Average Shareholders' Equity.</t>
  </si>
  <si>
    <t>EBITDA &amp; PAT Margin</t>
  </si>
  <si>
    <t>• Net Working Capital = Current Assets - Current Liabilities.</t>
  </si>
  <si>
    <t>ROE &amp; ROCE</t>
  </si>
  <si>
    <t>• Debt-to-Equity uses lease liabilities as HUL has no conventional borrowings.</t>
  </si>
  <si>
    <t>Debt-to-Equity</t>
  </si>
  <si>
    <t>• ROCE uses HUL's reported methodology.</t>
  </si>
  <si>
    <t>Net Working Capital</t>
  </si>
  <si>
    <t>Working Capital Days</t>
  </si>
  <si>
    <t>Assumptions / Notes</t>
  </si>
  <si>
    <t>Cash Conversion Cycle</t>
  </si>
  <si>
    <t>FY2020-21 is the starting year of the analysis. Therefore, YoY growth and average-equity based ROE requiring earlier-year information are not calculated where prior-year data falls outside the selected period.</t>
  </si>
  <si>
    <t>Revenue / EBITDA / PAT CAGR</t>
  </si>
  <si>
    <t>Advanced Analysis Module</t>
  </si>
  <si>
    <t>Excel Technique Used</t>
  </si>
  <si>
    <t>Common-Size &amp; Trend Analysis</t>
  </si>
  <si>
    <t>Financial Ratio Analysis</t>
  </si>
  <si>
    <t>DuPont ROE Analysis</t>
  </si>
  <si>
    <t>Charts &amp; Dashboard</t>
  </si>
  <si>
    <t>Bear / Base / Bull Scenario Forecasting</t>
  </si>
  <si>
    <t>Scenario Analysis</t>
  </si>
  <si>
    <t>P/E &amp; EV/EBITDA Valuation</t>
  </si>
  <si>
    <t>Sensitivity Analysis</t>
  </si>
  <si>
    <t>Valuation Sensitivity Analysis</t>
  </si>
  <si>
    <t>Linked Cell Formulas</t>
  </si>
  <si>
    <t>HUL Financial Analysis – Raw Data</t>
  </si>
  <si>
    <t>Particulars (₹ Cr)</t>
  </si>
  <si>
    <t>Fy 2020-21</t>
  </si>
  <si>
    <t>Fy 2021-22</t>
  </si>
  <si>
    <t>Fy 2022-23</t>
  </si>
  <si>
    <t>Fy 2023-24</t>
  </si>
  <si>
    <t>Fy 2024-25</t>
  </si>
  <si>
    <t>SOURCE</t>
  </si>
  <si>
    <t>Turnover</t>
  </si>
  <si>
    <t>HUL Historical Data</t>
  </si>
  <si>
    <t>EBITDA</t>
  </si>
  <si>
    <t>PAT</t>
  </si>
  <si>
    <t>Cash From Operations</t>
  </si>
  <si>
    <t>Total Assets</t>
  </si>
  <si>
    <t xml:space="preserve">HUL Annual Report </t>
  </si>
  <si>
    <t>Total Equity</t>
  </si>
  <si>
    <t>Current Assets</t>
  </si>
  <si>
    <t xml:space="preserve">Current Liabilities </t>
  </si>
  <si>
    <t>Inventory</t>
  </si>
  <si>
    <t>Trade Receivables</t>
  </si>
  <si>
    <t>Trade Payables</t>
  </si>
  <si>
    <t>Cash &amp; Cash Equivalents</t>
  </si>
  <si>
    <t>Non-current Lease Liability</t>
  </si>
  <si>
    <t xml:space="preserve">Current Lease Liability </t>
  </si>
  <si>
    <t>HUL Financial Ratio Analysis</t>
  </si>
  <si>
    <t>Particulars</t>
  </si>
  <si>
    <t>FY2020-21</t>
  </si>
  <si>
    <t>FY2021-22</t>
  </si>
  <si>
    <t>FY2022-23</t>
  </si>
  <si>
    <t>FY2023-24</t>
  </si>
  <si>
    <t>FY2024-25</t>
  </si>
  <si>
    <t>Revenue YoY Growth</t>
  </si>
  <si>
    <t>N\A</t>
  </si>
  <si>
    <t>EBITDA YoY Growth</t>
  </si>
  <si>
    <t>PAT YoY Growth</t>
  </si>
  <si>
    <t>EBITDA Margin</t>
  </si>
  <si>
    <t>PAT Margin</t>
  </si>
  <si>
    <t>ROE</t>
  </si>
  <si>
    <t>Lease Liabilities</t>
  </si>
  <si>
    <t>Debt to Equity</t>
  </si>
  <si>
    <t>ROCE (Reported)</t>
  </si>
  <si>
    <t>Inventory Turnover</t>
  </si>
  <si>
    <t>Receivable Turnover</t>
  </si>
  <si>
    <t>Payable Turnover</t>
  </si>
  <si>
    <t>Inventory Days</t>
  </si>
  <si>
    <t>Receivable Days</t>
  </si>
  <si>
    <t>Payable Days</t>
  </si>
  <si>
    <t>Revenue CAGR</t>
  </si>
  <si>
    <t>EBITDA CAGR</t>
  </si>
  <si>
    <t>PAT CAGR</t>
  </si>
  <si>
    <t>HUL Common-Size &amp; Trend Analysis</t>
  </si>
  <si>
    <t>Metric</t>
  </si>
  <si>
    <t>Revenue Index</t>
  </si>
  <si>
    <t>EBITDA Index</t>
  </si>
  <si>
    <t>PAT Index</t>
  </si>
  <si>
    <t>CFO Index</t>
  </si>
  <si>
    <t>EBITDA as % of Revenue</t>
  </si>
  <si>
    <t>PAT as % of Revenue</t>
  </si>
  <si>
    <t>CFO as % of Revenue</t>
  </si>
  <si>
    <t>Current Assets as % of Total Assets</t>
  </si>
  <si>
    <t>Current Liabilities as % of Total Assets</t>
  </si>
  <si>
    <t>Cash as % of Total Assets</t>
  </si>
  <si>
    <t>Inventory as % of Current Assets</t>
  </si>
  <si>
    <t>Receivables as % of Revenue</t>
  </si>
  <si>
    <t>HUL DuPont Analysis</t>
  </si>
  <si>
    <t>Net Profit Margin</t>
  </si>
  <si>
    <t>Asset Turnover</t>
  </si>
  <si>
    <t>N/A</t>
  </si>
  <si>
    <t>Equity Multiplier</t>
  </si>
  <si>
    <t>DuPont ROE</t>
  </si>
  <si>
    <t>Reported ROE</t>
  </si>
  <si>
    <t>HUL Forecast &amp; Scenario Analysis</t>
  </si>
  <si>
    <t>Scenario</t>
  </si>
  <si>
    <t>Bear Case</t>
  </si>
  <si>
    <t xml:space="preserve">Base Case </t>
  </si>
  <si>
    <t>Bull Case</t>
  </si>
  <si>
    <t>Forecast Metric</t>
  </si>
  <si>
    <t>FY2024-25 Actual</t>
  </si>
  <si>
    <t>FY2025-26</t>
  </si>
  <si>
    <t>FY2026-27</t>
  </si>
  <si>
    <t>FY2027-28</t>
  </si>
  <si>
    <t>Base Case Forecast</t>
  </si>
  <si>
    <t>Revenue</t>
  </si>
  <si>
    <t>Bear Case Forecast</t>
  </si>
  <si>
    <t>Bull Case Forecast</t>
  </si>
  <si>
    <t>HUL Multiples-Based Valuation</t>
  </si>
  <si>
    <t>FY2024-25 Financial Base</t>
  </si>
  <si>
    <t>Valuation Assumptions</t>
  </si>
  <si>
    <t>P/E Multiple</t>
  </si>
  <si>
    <t>EV/EBITDA Multiple</t>
  </si>
  <si>
    <t>P/E Implied Equity Value</t>
  </si>
  <si>
    <t>Enterprise Value</t>
  </si>
  <si>
    <t>EV/EBITDA Implied Equity Value</t>
  </si>
  <si>
    <t>Difference Between Methods</t>
  </si>
  <si>
    <t>P/E Sensitivity Analysis</t>
  </si>
  <si>
    <t>Implied Equity Value</t>
  </si>
  <si>
    <t>Valuation Insight</t>
  </si>
  <si>
    <t>The implied equity value is highly sensitive to the selected P/E multiple, ranging from approximately ₹4.26 lakh Cr at 40x to ₹6.39 lakh Cr at 60x.</t>
  </si>
  <si>
    <t>HUL Financial Analysis – Key Insights</t>
  </si>
  <si>
    <t>Theme</t>
  </si>
  <si>
    <t>Observation</t>
  </si>
  <si>
    <t>Evidence</t>
  </si>
  <si>
    <t>Business Interpretation</t>
  </si>
  <si>
    <t>Growth</t>
  </si>
  <si>
    <t>Revenue grew steadily over the 5-year period, but recent growth has slowed.</t>
  </si>
  <si>
    <r>
      <t xml:space="preserve">Revenue CAGR </t>
    </r>
    <r>
      <rPr>
        <b/>
        <sz val="11"/>
        <color theme="1"/>
        <rFont val="Calibri"/>
        <family val="2"/>
        <scheme val="minor"/>
      </rPr>
      <t>7.57%</t>
    </r>
    <r>
      <rPr>
        <sz val="11"/>
        <color theme="1"/>
        <rFont val="Calibri"/>
        <family val="2"/>
        <scheme val="minor"/>
      </rPr>
      <t xml:space="preserve">; FY25 YoY growth only </t>
    </r>
    <r>
      <rPr>
        <b/>
        <sz val="11"/>
        <color theme="1"/>
        <rFont val="Calibri"/>
        <family val="2"/>
        <scheme val="minor"/>
      </rPr>
      <t>1.85%</t>
    </r>
    <r>
      <rPr>
        <sz val="11"/>
        <color theme="1"/>
        <rFont val="Calibri"/>
        <family val="2"/>
        <scheme val="minor"/>
      </rPr>
      <t>.</t>
    </r>
  </si>
  <si>
    <t>HUL has delivered long-term growth, but near-term topline momentum has moderated.</t>
  </si>
  <si>
    <t>Profitability</t>
  </si>
  <si>
    <t>EBITDA growth lagged revenue growth over the period.</t>
  </si>
  <si>
    <r>
      <t xml:space="preserve">Revenue CAGR </t>
    </r>
    <r>
      <rPr>
        <b/>
        <sz val="11"/>
        <color theme="1"/>
        <rFont val="Calibri"/>
        <family val="2"/>
        <scheme val="minor"/>
      </rPr>
      <t>7.57%</t>
    </r>
    <r>
      <rPr>
        <sz val="11"/>
        <color theme="1"/>
        <rFont val="Calibri"/>
        <family val="2"/>
        <scheme val="minor"/>
      </rPr>
      <t xml:space="preserve"> vs EBITDA CAGR </t>
    </r>
    <r>
      <rPr>
        <b/>
        <sz val="11"/>
        <color theme="1"/>
        <rFont val="Calibri"/>
        <family val="2"/>
        <scheme val="minor"/>
      </rPr>
      <t>5.99%</t>
    </r>
    <r>
      <rPr>
        <sz val="11"/>
        <color theme="1"/>
        <rFont val="Calibri"/>
        <family val="2"/>
        <scheme val="minor"/>
      </rPr>
      <t xml:space="preserve">; EBITDA margin fell from about </t>
    </r>
    <r>
      <rPr>
        <b/>
        <sz val="11"/>
        <color theme="1"/>
        <rFont val="Calibri"/>
        <family val="2"/>
        <scheme val="minor"/>
      </rPr>
      <t>25.0% to 23.5%</t>
    </r>
    <r>
      <rPr>
        <sz val="11"/>
        <color theme="1"/>
        <rFont val="Calibri"/>
        <family val="2"/>
        <scheme val="minor"/>
      </rPr>
      <t>.</t>
    </r>
  </si>
  <si>
    <t>This indicates some operating margin pressure despite revenue expansion.</t>
  </si>
  <si>
    <t>Net Profit</t>
  </si>
  <si>
    <t>PAT remained comparatively resilient.</t>
  </si>
  <si>
    <r>
      <t xml:space="preserve">PAT CAGR </t>
    </r>
    <r>
      <rPr>
        <b/>
        <sz val="11"/>
        <color theme="1"/>
        <rFont val="Calibri"/>
        <family val="2"/>
        <scheme val="minor"/>
      </rPr>
      <t>7.55%</t>
    </r>
    <r>
      <rPr>
        <sz val="11"/>
        <color theme="1"/>
        <rFont val="Calibri"/>
        <family val="2"/>
        <scheme val="minor"/>
      </rPr>
      <t xml:space="preserve"> and PAT margin improved from </t>
    </r>
    <r>
      <rPr>
        <b/>
        <sz val="11"/>
        <color theme="1"/>
        <rFont val="Calibri"/>
        <family val="2"/>
        <scheme val="minor"/>
      </rPr>
      <t>16.98% in FY24 to 17.54% in FY25</t>
    </r>
    <r>
      <rPr>
        <sz val="11"/>
        <color theme="1"/>
        <rFont val="Calibri"/>
        <family val="2"/>
        <scheme val="minor"/>
      </rPr>
      <t>.</t>
    </r>
  </si>
  <si>
    <t>Bottom-line profitability recovered even though operating margin remained under pressure.</t>
  </si>
  <si>
    <t>Return on Capital</t>
  </si>
  <si>
    <t>ROCE weakened until FY24 but recovered strongly in FY25</t>
  </si>
  <si>
    <r>
      <t xml:space="preserve">ROCE: </t>
    </r>
    <r>
      <rPr>
        <b/>
        <sz val="11"/>
        <color theme="1"/>
        <rFont val="Calibri"/>
        <family val="2"/>
        <scheme val="minor"/>
      </rPr>
      <t>113.0% → 107.8% → 101.9% → 96.3% → 108.2%</t>
    </r>
    <r>
      <rPr>
        <sz val="11"/>
        <color theme="1"/>
        <rFont val="Calibri"/>
        <family val="2"/>
        <scheme val="minor"/>
      </rPr>
      <t>.</t>
    </r>
  </si>
  <si>
    <t>Capital efficiency remains very strong, with a notable recovery in the latest year.</t>
  </si>
  <si>
    <t>Working Capital</t>
  </si>
  <si>
    <t>HUL maintained a negative cash conversion cycle.</t>
  </si>
  <si>
    <r>
      <t xml:space="preserve">CCC remained negative; FY25 approximately </t>
    </r>
    <r>
      <rPr>
        <b/>
        <sz val="11"/>
        <color theme="1"/>
        <rFont val="Calibri"/>
        <family val="2"/>
        <scheme val="minor"/>
      </rPr>
      <t>-40.5 days</t>
    </r>
    <r>
      <rPr>
        <sz val="11"/>
        <color theme="1"/>
        <rFont val="Calibri"/>
        <family val="2"/>
        <scheme val="minor"/>
      </rPr>
      <t>.</t>
    </r>
  </si>
  <si>
    <t>A negative CCC indicates that HUL generally converts its operating cycle into cash before supplier payments become due, supporting efficient working-capital management.</t>
  </si>
  <si>
    <t>Leverage</t>
  </si>
  <si>
    <t>HUL operates with very low financial leverage.</t>
  </si>
  <si>
    <t>No conventional borrowings; Debt/Equity approximately 0.03x in FY25 using lease liabilities.</t>
  </si>
  <si>
    <t>Low leverage reduces financing risk and gives HUL a conservative balance-sheet position.</t>
  </si>
  <si>
    <t>DuPont Analysis</t>
  </si>
  <si>
    <t>Shareholder returns improved over the analysed period.</t>
  </si>
  <si>
    <r>
      <t xml:space="preserve">ROE increased from </t>
    </r>
    <r>
      <rPr>
        <b/>
        <sz val="11"/>
        <color theme="1"/>
        <rFont val="Calibri"/>
        <family val="2"/>
        <scheme val="minor"/>
      </rPr>
      <t>18.3% in FY22 to 21.3% in FY25</t>
    </r>
    <r>
      <rPr>
        <sz val="11"/>
        <color theme="1"/>
        <rFont val="Calibri"/>
        <family val="2"/>
        <scheme val="minor"/>
      </rPr>
      <t xml:space="preserve">, while Equity Multiplier increased from </t>
    </r>
    <r>
      <rPr>
        <b/>
        <sz val="11"/>
        <color theme="1"/>
        <rFont val="Calibri"/>
        <family val="2"/>
        <scheme val="minor"/>
      </rPr>
      <t>1.43x to 1.55x</t>
    </r>
    <r>
      <rPr>
        <sz val="11"/>
        <color theme="1"/>
        <rFont val="Calibri"/>
        <family val="2"/>
        <scheme val="minor"/>
      </rPr>
      <t>.</t>
    </r>
  </si>
  <si>
    <t>Stable margins combined with changes in asset utilisation and capital structure supported higher ROE.</t>
  </si>
  <si>
    <t>Forecast Outlook</t>
  </si>
  <si>
    <t>Base Case indicates moderate growth over the next three years.</t>
  </si>
  <si>
    <r>
      <t xml:space="preserve">At </t>
    </r>
    <r>
      <rPr>
        <b/>
        <sz val="11"/>
        <color theme="1"/>
        <rFont val="Calibri"/>
        <family val="2"/>
        <scheme val="minor"/>
      </rPr>
      <t>5% annual revenue growth</t>
    </r>
    <r>
      <rPr>
        <sz val="11"/>
        <color theme="1"/>
        <rFont val="Calibri"/>
        <family val="2"/>
        <scheme val="minor"/>
      </rPr>
      <t xml:space="preserve">, FY28 Revenue is projected at about </t>
    </r>
    <r>
      <rPr>
        <b/>
        <sz val="11"/>
        <color theme="1"/>
        <rFont val="Calibri"/>
        <family val="2"/>
        <scheme val="minor"/>
      </rPr>
      <t>₹70,245 Cr</t>
    </r>
    <r>
      <rPr>
        <sz val="11"/>
        <color theme="1"/>
        <rFont val="Calibri"/>
        <family val="2"/>
        <scheme val="minor"/>
      </rPr>
      <t xml:space="preserve"> and PAT at about </t>
    </r>
    <r>
      <rPr>
        <b/>
        <sz val="11"/>
        <color theme="1"/>
        <rFont val="Calibri"/>
        <family val="2"/>
        <scheme val="minor"/>
      </rPr>
      <t>₹12,293 Cr</t>
    </r>
    <r>
      <rPr>
        <sz val="11"/>
        <color theme="1"/>
        <rFont val="Calibri"/>
        <family val="2"/>
        <scheme val="minor"/>
      </rPr>
      <t>.</t>
    </r>
  </si>
  <si>
    <t>The outlook suggests steady growth, assuming HUL maintains current margins and operating conditions.</t>
  </si>
  <si>
    <t>Valuation</t>
  </si>
  <si>
    <t>HUL's implied value changes significantly depending on the valuation method used.</t>
  </si>
  <si>
    <r>
      <rPr>
        <b/>
        <sz val="11"/>
        <color rgb="FF000000"/>
        <rFont val="Calibri"/>
      </rPr>
      <t>50x P/E</t>
    </r>
    <r>
      <rPr>
        <sz val="11"/>
        <color rgb="FF000000"/>
        <rFont val="Calibri"/>
      </rPr>
      <t xml:space="preserve"> gives about </t>
    </r>
    <r>
      <rPr>
        <b/>
        <sz val="11"/>
        <color rgb="FF000000"/>
        <rFont val="Calibri"/>
      </rPr>
      <t>₹5.32 lakh Cr</t>
    </r>
    <r>
      <rPr>
        <sz val="11"/>
        <color rgb="FF000000"/>
        <rFont val="Calibri"/>
      </rPr>
      <t xml:space="preserve">, while </t>
    </r>
    <r>
      <rPr>
        <b/>
        <sz val="11"/>
        <color rgb="FF000000"/>
        <rFont val="Calibri"/>
      </rPr>
      <t>30x EV/EBITDA</t>
    </r>
    <r>
      <rPr>
        <sz val="11"/>
        <color rgb="FF000000"/>
        <rFont val="Calibri"/>
      </rPr>
      <t xml:space="preserve"> gives about </t>
    </r>
    <r>
      <rPr>
        <b/>
        <sz val="11"/>
        <color rgb="FF000000"/>
        <rFont val="Calibri"/>
      </rPr>
      <t>₹4.33 lakh Cr</t>
    </r>
    <r>
      <rPr>
        <sz val="11"/>
        <color rgb="FF000000"/>
        <rFont val="Calibri"/>
      </rPr>
      <t xml:space="preserve"> equity value.</t>
    </r>
  </si>
  <si>
    <t>Valuation is sensitive to assumptions and multiples, so multiple methods should be considered together.</t>
  </si>
  <si>
    <t>Hindustan Unilever Limited</t>
  </si>
  <si>
    <t>5-Year Financial Performance Dashboard | FY2020-21 to FY2024-25</t>
  </si>
  <si>
    <t>ROCE</t>
  </si>
  <si>
    <t>Key Takeways</t>
  </si>
  <si>
    <t>Efficiency</t>
  </si>
  <si>
    <t>Revenue CAGR: 7.57%
FY25 revenue growth slowed to 1.85%</t>
  </si>
  <si>
    <t>FY25 EBITDA Margin: 23.55%
Margin declined from ~25.0% in FY21.</t>
  </si>
  <si>
    <t>FY25 CCC: -40.5 Days
Negative CCC reflects strong working-capital efficiency.</t>
  </si>
  <si>
    <t>Advanced Financial Analysis</t>
  </si>
  <si>
    <t>FY25 DuPont ROE</t>
  </si>
  <si>
    <t>FY28 Base Revenue</t>
  </si>
  <si>
    <t>FY28 Base PAT</t>
  </si>
  <si>
    <t>Management Insights</t>
  </si>
  <si>
    <t>1. Growth:
HUL delivered ~7.6% revenue CAGR over FY21-FY25, although recent revenue growth has moderated.</t>
  </si>
  <si>
    <t>2. Profitability:
PAT margin remained resilient near 17%-18%, while EBITDA margin softened from about 25.0% to 23.5%.</t>
  </si>
  <si>
    <t>3. Outlook:
Under the Base Case, revenue is projected to reach approximately ₹70,245 Cr by FY2027-28, while Bear and Bull scenarios highlight the range of possible outcomes.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</si>
</sst>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%"/>
    <numFmt numFmtId="165" formatCode="0.0"/>
    <numFmt numFmtId="166" formatCode="[$₹-446]\ #,##0.00"/>
    <numFmt numFmtId="167" formatCode="[$₹-446]\ #,##0"/>
    <numFmt numFmtId="168" formatCode="0.00&quot;x&quot;"/>
    <numFmt numFmtId="169" formatCode="00\x"/>
    <numFmt numFmtId="170" formatCode="0.0&quot;x&quot;"/>
    <numFmt numFmtId="171" formatCode="_-* #,##0_-;\-* #,##0_-;_-* &quot;-&quot;??_-;_-@_-"/>
  </numFmts>
  <fonts count="26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 Light"/>
      <scheme val="major"/>
    </font>
    <font>
      <b/>
      <sz val="12"/>
      <color theme="1"/>
      <name val="Calibri Light"/>
      <scheme val="major"/>
    </font>
    <font>
      <b/>
      <sz val="12"/>
      <color rgb="FF000000"/>
      <name val="Calibri Light"/>
      <scheme val="major"/>
    </font>
    <font>
      <b/>
      <sz val="14"/>
      <color rgb="FF000000"/>
      <name val="Calibri"/>
      <scheme val="minor"/>
    </font>
    <font>
      <b/>
      <sz val="11"/>
      <color rgb="FF000000"/>
      <name val="Calibri Light"/>
      <scheme val="major"/>
    </font>
    <font>
      <b/>
      <sz val="16"/>
      <color rgb="FF161616"/>
      <name val="Calibri Light"/>
      <scheme val="major"/>
    </font>
    <font>
      <b/>
      <sz val="14"/>
      <color theme="1"/>
      <name val="Calibri"/>
      <family val="2"/>
      <scheme val="minor"/>
    </font>
    <font>
      <b/>
      <i/>
      <sz val="14"/>
      <color rgb="FF000000"/>
      <name val="Calibri Light"/>
      <scheme val="maj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charset val="1"/>
    </font>
    <font>
      <b/>
      <i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4"/>
      <color rgb="FF000000"/>
      <name val="Calibri"/>
      <charset val="1"/>
    </font>
    <font>
      <b/>
      <sz val="12"/>
      <color rgb="FF000000"/>
      <name val="Calibri"/>
      <charset val="1"/>
    </font>
    <font>
      <b/>
      <sz val="18"/>
      <color theme="1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  <charset val="134"/>
    </font>
  </fonts>
  <fills count="1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theme="5" tint="-0.499984740745262"/>
      </left>
      <right/>
      <top style="medium">
        <color theme="5" tint="-0.499984740745262"/>
      </top>
      <bottom/>
      <diagonal/>
    </border>
    <border>
      <left/>
      <right/>
      <top style="medium">
        <color theme="5" tint="-0.499984740745262"/>
      </top>
      <bottom/>
      <diagonal/>
    </border>
    <border>
      <left/>
      <right style="medium">
        <color theme="5" tint="-0.499984740745262"/>
      </right>
      <top style="medium">
        <color theme="5" tint="-0.499984740745262"/>
      </top>
      <bottom/>
      <diagonal/>
    </border>
    <border>
      <left style="medium">
        <color theme="5" tint="-0.499984740745262"/>
      </left>
      <right/>
      <top/>
      <bottom style="medium">
        <color theme="5" tint="-0.499984740745262"/>
      </bottom>
      <diagonal/>
    </border>
    <border>
      <left/>
      <right/>
      <top/>
      <bottom style="medium">
        <color theme="5" tint="-0.499984740745262"/>
      </bottom>
      <diagonal/>
    </border>
    <border>
      <left/>
      <right style="medium">
        <color theme="5" tint="-0.499984740745262"/>
      </right>
      <top/>
      <bottom style="medium">
        <color theme="5" tint="-0.499984740745262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medium">
        <color theme="1"/>
      </top>
      <bottom/>
      <diagonal/>
    </border>
    <border>
      <left/>
      <right/>
      <top style="medium">
        <color theme="1" tint="4.9989318521683403E-2"/>
      </top>
      <bottom/>
      <diagonal/>
    </border>
    <border>
      <left/>
      <right style="medium">
        <color theme="1" tint="4.9989318521683403E-2"/>
      </right>
      <top style="medium">
        <color theme="1" tint="4.9989318521683403E-2"/>
      </top>
      <bottom/>
      <diagonal/>
    </border>
    <border>
      <left style="medium">
        <color theme="1" tint="4.9989318521683403E-2"/>
      </left>
      <right/>
      <top/>
      <bottom style="medium">
        <color theme="1" tint="4.9989318521683403E-2"/>
      </bottom>
      <diagonal/>
    </border>
    <border>
      <left/>
      <right/>
      <top/>
      <bottom style="medium">
        <color theme="1" tint="4.9989318521683403E-2"/>
      </bottom>
      <diagonal/>
    </border>
    <border>
      <left/>
      <right style="medium">
        <color theme="1" tint="4.9989318521683403E-2"/>
      </right>
      <top/>
      <bottom style="medium">
        <color theme="1" tint="4.9989318521683403E-2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rgb="FFFFFF00"/>
      </left>
      <right/>
      <top style="medium">
        <color rgb="FFFFFF00"/>
      </top>
      <bottom style="medium">
        <color rgb="FFFFFF00"/>
      </bottom>
      <diagonal/>
    </border>
    <border>
      <left/>
      <right/>
      <top style="medium">
        <color rgb="FFFFFF00"/>
      </top>
      <bottom style="medium">
        <color rgb="FFFFFF00"/>
      </bottom>
      <diagonal/>
    </border>
    <border>
      <left style="medium">
        <color rgb="FF92D050"/>
      </left>
      <right/>
      <top style="medium">
        <color rgb="FF92D050"/>
      </top>
      <bottom/>
      <diagonal/>
    </border>
    <border>
      <left/>
      <right/>
      <top style="medium">
        <color rgb="FF92D050"/>
      </top>
      <bottom/>
      <diagonal/>
    </border>
    <border>
      <left/>
      <right style="medium">
        <color rgb="FF92D050"/>
      </right>
      <top style="medium">
        <color rgb="FF92D050"/>
      </top>
      <bottom/>
      <diagonal/>
    </border>
    <border>
      <left style="medium">
        <color rgb="FF92D050"/>
      </left>
      <right/>
      <top/>
      <bottom style="medium">
        <color rgb="FF92D050"/>
      </bottom>
      <diagonal/>
    </border>
    <border>
      <left/>
      <right/>
      <top/>
      <bottom style="medium">
        <color rgb="FF92D050"/>
      </bottom>
      <diagonal/>
    </border>
    <border>
      <left/>
      <right style="medium">
        <color rgb="FF92D050"/>
      </right>
      <top/>
      <bottom style="medium">
        <color rgb="FF92D050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theme="1" tint="4.9989318521683403E-2"/>
      </top>
      <bottom style="medium">
        <color theme="1" tint="4.9989318521683403E-2"/>
      </bottom>
      <diagonal/>
    </border>
    <border>
      <left/>
      <right style="medium">
        <color theme="1"/>
      </right>
      <top style="medium">
        <color theme="1" tint="4.9989318521683403E-2"/>
      </top>
      <bottom style="medium">
        <color theme="1" tint="4.9989318521683403E-2"/>
      </bottom>
      <diagonal/>
    </border>
    <border>
      <left style="medium">
        <color theme="1" tint="4.9989318521683403E-2"/>
      </left>
      <right/>
      <top style="medium">
        <color theme="1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217">
    <xf numFmtId="0" fontId="0" fillId="0" borderId="0" xfId="0"/>
    <xf numFmtId="3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wrapText="1"/>
    </xf>
    <xf numFmtId="0" fontId="5" fillId="0" borderId="0" xfId="0" applyFont="1"/>
    <xf numFmtId="0" fontId="4" fillId="0" borderId="0" xfId="0" applyFont="1"/>
    <xf numFmtId="3" fontId="2" fillId="0" borderId="0" xfId="0" applyNumberFormat="1" applyFont="1"/>
    <xf numFmtId="3" fontId="0" fillId="0" borderId="0" xfId="0" applyNumberFormat="1" applyFont="1"/>
    <xf numFmtId="0" fontId="0" fillId="0" borderId="0" xfId="0" applyFont="1"/>
    <xf numFmtId="0" fontId="5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7" fillId="0" borderId="0" xfId="0" applyFont="1"/>
    <xf numFmtId="164" fontId="0" fillId="0" borderId="0" xfId="0" applyNumberFormat="1"/>
    <xf numFmtId="165" fontId="0" fillId="0" borderId="0" xfId="0" applyNumberFormat="1"/>
    <xf numFmtId="10" fontId="0" fillId="0" borderId="0" xfId="0" quotePrefix="1" applyNumberFormat="1"/>
    <xf numFmtId="0" fontId="0" fillId="0" borderId="0" xfId="0" applyBorder="1"/>
    <xf numFmtId="0" fontId="0" fillId="4" borderId="0" xfId="0" applyFill="1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4" borderId="8" xfId="0" applyFont="1" applyFill="1" applyBorder="1"/>
    <xf numFmtId="166" fontId="0" fillId="0" borderId="0" xfId="0" applyNumberFormat="1"/>
    <xf numFmtId="0" fontId="0" fillId="0" borderId="0" xfId="0" applyAlignment="1"/>
    <xf numFmtId="0" fontId="0" fillId="0" borderId="0" xfId="0" applyAlignment="1">
      <alignment vertical="top" wrapText="1"/>
    </xf>
    <xf numFmtId="2" fontId="4" fillId="0" borderId="0" xfId="0" applyNumberFormat="1" applyFont="1"/>
    <xf numFmtId="2" fontId="3" fillId="0" borderId="0" xfId="0" applyNumberFormat="1" applyFont="1"/>
    <xf numFmtId="168" fontId="0" fillId="0" borderId="0" xfId="0" applyNumberFormat="1" applyAlignment="1"/>
    <xf numFmtId="168" fontId="0" fillId="0" borderId="0" xfId="0" applyNumberFormat="1"/>
    <xf numFmtId="0" fontId="11" fillId="4" borderId="0" xfId="0" applyFont="1" applyFill="1" applyBorder="1" applyAlignment="1"/>
    <xf numFmtId="0" fontId="15" fillId="0" borderId="0" xfId="0" applyFont="1"/>
    <xf numFmtId="10" fontId="0" fillId="0" borderId="0" xfId="0" applyNumberFormat="1"/>
    <xf numFmtId="2" fontId="0" fillId="0" borderId="0" xfId="0" applyNumberFormat="1"/>
    <xf numFmtId="1" fontId="0" fillId="0" borderId="0" xfId="0" applyNumberFormat="1"/>
    <xf numFmtId="3" fontId="0" fillId="0" borderId="0" xfId="0" quotePrefix="1" applyNumberFormat="1"/>
    <xf numFmtId="0" fontId="11" fillId="0" borderId="0" xfId="0" applyFont="1"/>
    <xf numFmtId="170" fontId="0" fillId="0" borderId="0" xfId="0" applyNumberFormat="1"/>
    <xf numFmtId="169" fontId="0" fillId="0" borderId="0" xfId="0" applyNumberFormat="1" applyAlignment="1">
      <alignment horizontal="left" indent="5"/>
    </xf>
    <xf numFmtId="0" fontId="0" fillId="0" borderId="0" xfId="0" applyFill="1"/>
    <xf numFmtId="0" fontId="17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9" fillId="0" borderId="0" xfId="0" applyFont="1" applyAlignment="1">
      <alignment vertical="center" wrapText="1"/>
    </xf>
    <xf numFmtId="0" fontId="12" fillId="0" borderId="0" xfId="0" applyFont="1" applyFill="1" applyBorder="1" applyAlignment="1">
      <alignment horizontal="center"/>
    </xf>
    <xf numFmtId="10" fontId="12" fillId="0" borderId="0" xfId="0" applyNumberFormat="1" applyFont="1" applyFill="1" applyBorder="1" applyAlignment="1">
      <alignment horizontal="center" vertical="center"/>
    </xf>
    <xf numFmtId="167" fontId="11" fillId="0" borderId="0" xfId="0" applyNumberFormat="1" applyFont="1" applyFill="1" applyBorder="1" applyAlignment="1">
      <alignment vertical="center" wrapText="1" indent="7"/>
    </xf>
    <xf numFmtId="167" fontId="11" fillId="0" borderId="0" xfId="0" applyNumberFormat="1" applyFont="1" applyFill="1" applyBorder="1" applyAlignment="1">
      <alignment vertical="center" indent="7"/>
    </xf>
    <xf numFmtId="10" fontId="11" fillId="0" borderId="0" xfId="0" applyNumberFormat="1" applyFont="1" applyFill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wrapText="1"/>
    </xf>
    <xf numFmtId="0" fontId="9" fillId="0" borderId="0" xfId="0" applyFont="1" applyFill="1" applyBorder="1" applyAlignment="1"/>
    <xf numFmtId="0" fontId="13" fillId="0" borderId="0" xfId="0" applyFont="1"/>
    <xf numFmtId="0" fontId="24" fillId="0" borderId="0" xfId="0" applyFont="1" applyAlignment="1">
      <alignment wrapText="1"/>
    </xf>
    <xf numFmtId="0" fontId="22" fillId="0" borderId="0" xfId="0" applyFont="1" applyAlignment="1">
      <alignment vertical="top" wrapText="1"/>
    </xf>
    <xf numFmtId="171" fontId="0" fillId="0" borderId="0" xfId="0" applyNumberFormat="1"/>
    <xf numFmtId="0" fontId="0" fillId="0" borderId="0" xfId="0" applyAlignment="1">
      <alignment horizontal="center"/>
    </xf>
    <xf numFmtId="0" fontId="20" fillId="4" borderId="0" xfId="0" applyFont="1" applyFill="1" applyBorder="1" applyAlignment="1">
      <alignment horizontal="center"/>
    </xf>
    <xf numFmtId="0" fontId="14" fillId="4" borderId="0" xfId="0" applyFont="1" applyFill="1" applyBorder="1" applyAlignment="1">
      <alignment horizontal="center" vertical="top" wrapText="1"/>
    </xf>
    <xf numFmtId="0" fontId="11" fillId="4" borderId="0" xfId="0" applyFont="1" applyFill="1" applyBorder="1" applyAlignment="1">
      <alignment horizontal="center" wrapText="1"/>
    </xf>
    <xf numFmtId="3" fontId="11" fillId="0" borderId="0" xfId="0" applyNumberFormat="1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/>
    </xf>
    <xf numFmtId="0" fontId="13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7" fillId="8" borderId="38" xfId="0" applyFont="1" applyFill="1" applyBorder="1" applyAlignment="1">
      <alignment horizontal="center" vertical="center"/>
    </xf>
    <xf numFmtId="0" fontId="17" fillId="8" borderId="39" xfId="0" applyFont="1" applyFill="1" applyBorder="1" applyAlignment="1">
      <alignment horizontal="center" vertical="center"/>
    </xf>
    <xf numFmtId="0" fontId="17" fillId="8" borderId="40" xfId="0" applyFont="1" applyFill="1" applyBorder="1" applyAlignment="1">
      <alignment horizontal="center" vertical="center"/>
    </xf>
    <xf numFmtId="0" fontId="17" fillId="8" borderId="41" xfId="0" applyFont="1" applyFill="1" applyBorder="1" applyAlignment="1">
      <alignment horizontal="center" vertical="center"/>
    </xf>
    <xf numFmtId="0" fontId="17" fillId="8" borderId="42" xfId="0" applyFont="1" applyFill="1" applyBorder="1" applyAlignment="1">
      <alignment horizontal="center" vertical="center"/>
    </xf>
    <xf numFmtId="0" fontId="17" fillId="8" borderId="43" xfId="0" applyFont="1" applyFill="1" applyBorder="1" applyAlignment="1">
      <alignment horizontal="center" vertical="center"/>
    </xf>
    <xf numFmtId="167" fontId="18" fillId="8" borderId="38" xfId="0" applyNumberFormat="1" applyFont="1" applyFill="1" applyBorder="1" applyAlignment="1">
      <alignment horizontal="center" vertical="center" wrapText="1" indent="7"/>
    </xf>
    <xf numFmtId="167" fontId="18" fillId="8" borderId="39" xfId="0" applyNumberFormat="1" applyFont="1" applyFill="1" applyBorder="1" applyAlignment="1">
      <alignment horizontal="center" vertical="center" wrapText="1" indent="7"/>
    </xf>
    <xf numFmtId="167" fontId="18" fillId="8" borderId="40" xfId="0" applyNumberFormat="1" applyFont="1" applyFill="1" applyBorder="1" applyAlignment="1">
      <alignment horizontal="center" vertical="center" wrapText="1" indent="7"/>
    </xf>
    <xf numFmtId="167" fontId="18" fillId="8" borderId="41" xfId="0" applyNumberFormat="1" applyFont="1" applyFill="1" applyBorder="1" applyAlignment="1">
      <alignment horizontal="center" vertical="center" wrapText="1" indent="7"/>
    </xf>
    <xf numFmtId="167" fontId="18" fillId="8" borderId="42" xfId="0" applyNumberFormat="1" applyFont="1" applyFill="1" applyBorder="1" applyAlignment="1">
      <alignment horizontal="center" vertical="center" wrapText="1" indent="7"/>
    </xf>
    <xf numFmtId="167" fontId="18" fillId="8" borderId="43" xfId="0" applyNumberFormat="1" applyFont="1" applyFill="1" applyBorder="1" applyAlignment="1">
      <alignment horizontal="center" vertical="center" wrapText="1" indent="7"/>
    </xf>
    <xf numFmtId="10" fontId="18" fillId="8" borderId="10" xfId="0" applyNumberFormat="1" applyFont="1" applyFill="1" applyBorder="1" applyAlignment="1">
      <alignment horizontal="center" vertical="center"/>
    </xf>
    <xf numFmtId="10" fontId="18" fillId="8" borderId="11" xfId="0" applyNumberFormat="1" applyFont="1" applyFill="1" applyBorder="1" applyAlignment="1">
      <alignment horizontal="center" vertical="center"/>
    </xf>
    <xf numFmtId="10" fontId="18" fillId="8" borderId="13" xfId="0" applyNumberFormat="1" applyFont="1" applyFill="1" applyBorder="1" applyAlignment="1">
      <alignment horizontal="center" vertical="center"/>
    </xf>
    <xf numFmtId="10" fontId="18" fillId="8" borderId="14" xfId="0" applyNumberFormat="1" applyFont="1" applyFill="1" applyBorder="1" applyAlignment="1">
      <alignment horizontal="center" vertical="center"/>
    </xf>
    <xf numFmtId="0" fontId="18" fillId="8" borderId="50" xfId="0" applyFont="1" applyFill="1" applyBorder="1" applyAlignment="1">
      <alignment horizontal="center" vertical="center"/>
    </xf>
    <xf numFmtId="0" fontId="18" fillId="8" borderId="9" xfId="0" applyFont="1" applyFill="1" applyBorder="1" applyAlignment="1">
      <alignment horizontal="center" vertical="center"/>
    </xf>
    <xf numFmtId="0" fontId="18" fillId="8" borderId="12" xfId="0" applyFont="1" applyFill="1" applyBorder="1" applyAlignment="1">
      <alignment horizontal="center" vertical="center"/>
    </xf>
    <xf numFmtId="0" fontId="18" fillId="8" borderId="13" xfId="0" applyFont="1" applyFill="1" applyBorder="1" applyAlignment="1">
      <alignment horizontal="center" vertical="center"/>
    </xf>
    <xf numFmtId="10" fontId="18" fillId="8" borderId="54" xfId="0" applyNumberFormat="1" applyFont="1" applyFill="1" applyBorder="1" applyAlignment="1">
      <alignment horizontal="center" vertical="center"/>
    </xf>
    <xf numFmtId="10" fontId="18" fillId="8" borderId="37" xfId="0" applyNumberFormat="1" applyFont="1" applyFill="1" applyBorder="1" applyAlignment="1">
      <alignment horizontal="center" vertical="center"/>
    </xf>
    <xf numFmtId="10" fontId="18" fillId="8" borderId="55" xfId="0" applyNumberFormat="1" applyFont="1" applyFill="1" applyBorder="1" applyAlignment="1">
      <alignment horizontal="center" vertical="center"/>
    </xf>
    <xf numFmtId="10" fontId="18" fillId="8" borderId="51" xfId="0" applyNumberFormat="1" applyFont="1" applyFill="1" applyBorder="1" applyAlignment="1">
      <alignment horizontal="center" vertical="center"/>
    </xf>
    <xf numFmtId="10" fontId="18" fillId="8" borderId="52" xfId="0" applyNumberFormat="1" applyFont="1" applyFill="1" applyBorder="1" applyAlignment="1">
      <alignment horizontal="center" vertical="center"/>
    </xf>
    <xf numFmtId="10" fontId="18" fillId="8" borderId="53" xfId="0" applyNumberFormat="1" applyFont="1" applyFill="1" applyBorder="1" applyAlignment="1">
      <alignment horizontal="center" vertical="center"/>
    </xf>
    <xf numFmtId="0" fontId="21" fillId="8" borderId="38" xfId="0" applyFont="1" applyFill="1" applyBorder="1" applyAlignment="1">
      <alignment horizontal="center" vertical="center"/>
    </xf>
    <xf numFmtId="0" fontId="21" fillId="8" borderId="39" xfId="0" applyFont="1" applyFill="1" applyBorder="1" applyAlignment="1">
      <alignment horizontal="center" vertical="center"/>
    </xf>
    <xf numFmtId="0" fontId="21" fillId="8" borderId="40" xfId="0" applyFont="1" applyFill="1" applyBorder="1" applyAlignment="1">
      <alignment horizontal="center" vertical="center"/>
    </xf>
    <xf numFmtId="0" fontId="21" fillId="8" borderId="56" xfId="0" applyFont="1" applyFill="1" applyBorder="1" applyAlignment="1">
      <alignment horizontal="center" vertical="center"/>
    </xf>
    <xf numFmtId="0" fontId="21" fillId="8" borderId="0" xfId="0" applyFont="1" applyFill="1" applyBorder="1" applyAlignment="1">
      <alignment horizontal="center" vertical="center"/>
    </xf>
    <xf numFmtId="0" fontId="21" fillId="8" borderId="57" xfId="0" applyFont="1" applyFill="1" applyBorder="1" applyAlignment="1">
      <alignment horizontal="center" vertical="center"/>
    </xf>
    <xf numFmtId="0" fontId="9" fillId="8" borderId="45" xfId="0" applyFont="1" applyFill="1" applyBorder="1" applyAlignment="1">
      <alignment horizontal="center"/>
    </xf>
    <xf numFmtId="0" fontId="9" fillId="8" borderId="46" xfId="0" applyFont="1" applyFill="1" applyBorder="1" applyAlignment="1">
      <alignment horizontal="center"/>
    </xf>
    <xf numFmtId="0" fontId="11" fillId="8" borderId="0" xfId="0" applyFont="1" applyFill="1" applyBorder="1" applyAlignment="1">
      <alignment horizontal="center" wrapText="1"/>
    </xf>
    <xf numFmtId="0" fontId="11" fillId="8" borderId="57" xfId="0" applyFont="1" applyFill="1" applyBorder="1" applyAlignment="1">
      <alignment horizontal="center" wrapText="1"/>
    </xf>
    <xf numFmtId="0" fontId="11" fillId="8" borderId="42" xfId="0" applyFont="1" applyFill="1" applyBorder="1" applyAlignment="1">
      <alignment horizontal="center" wrapText="1"/>
    </xf>
    <xf numFmtId="0" fontId="11" fillId="8" borderId="43" xfId="0" applyFont="1" applyFill="1" applyBorder="1" applyAlignment="1">
      <alignment horizontal="center" wrapText="1"/>
    </xf>
    <xf numFmtId="0" fontId="19" fillId="8" borderId="39" xfId="0" applyFont="1" applyFill="1" applyBorder="1" applyAlignment="1">
      <alignment horizontal="center"/>
    </xf>
    <xf numFmtId="0" fontId="9" fillId="8" borderId="39" xfId="0" applyFont="1" applyFill="1" applyBorder="1" applyAlignment="1">
      <alignment horizontal="center"/>
    </xf>
    <xf numFmtId="0" fontId="9" fillId="8" borderId="40" xfId="0" applyFont="1" applyFill="1" applyBorder="1" applyAlignment="1">
      <alignment horizontal="center"/>
    </xf>
    <xf numFmtId="0" fontId="20" fillId="12" borderId="39" xfId="0" applyFont="1" applyFill="1" applyBorder="1" applyAlignment="1">
      <alignment horizontal="center" wrapText="1"/>
    </xf>
    <xf numFmtId="0" fontId="20" fillId="12" borderId="39" xfId="0" applyFont="1" applyFill="1" applyBorder="1" applyAlignment="1">
      <alignment horizontal="center"/>
    </xf>
    <xf numFmtId="0" fontId="20" fillId="12" borderId="40" xfId="0" applyFont="1" applyFill="1" applyBorder="1" applyAlignment="1">
      <alignment horizontal="center"/>
    </xf>
    <xf numFmtId="0" fontId="20" fillId="12" borderId="0" xfId="0" applyFont="1" applyFill="1" applyBorder="1" applyAlignment="1">
      <alignment horizontal="center"/>
    </xf>
    <xf numFmtId="0" fontId="20" fillId="12" borderId="57" xfId="0" applyFont="1" applyFill="1" applyBorder="1" applyAlignment="1">
      <alignment horizontal="center"/>
    </xf>
    <xf numFmtId="0" fontId="20" fillId="12" borderId="42" xfId="0" applyFont="1" applyFill="1" applyBorder="1" applyAlignment="1">
      <alignment horizontal="center"/>
    </xf>
    <xf numFmtId="0" fontId="20" fillId="12" borderId="43" xfId="0" applyFont="1" applyFill="1" applyBorder="1" applyAlignment="1">
      <alignment horizontal="center"/>
    </xf>
    <xf numFmtId="0" fontId="6" fillId="8" borderId="44" xfId="0" applyFont="1" applyFill="1" applyBorder="1" applyAlignment="1">
      <alignment horizontal="center" wrapText="1"/>
    </xf>
    <xf numFmtId="0" fontId="6" fillId="8" borderId="45" xfId="0" applyFont="1" applyFill="1" applyBorder="1" applyAlignment="1">
      <alignment horizontal="center" wrapText="1"/>
    </xf>
    <xf numFmtId="0" fontId="6" fillId="8" borderId="46" xfId="0" applyFont="1" applyFill="1" applyBorder="1" applyAlignment="1">
      <alignment horizontal="center" wrapText="1"/>
    </xf>
    <xf numFmtId="0" fontId="14" fillId="8" borderId="56" xfId="0" applyFont="1" applyFill="1" applyBorder="1" applyAlignment="1">
      <alignment horizontal="center" vertical="top" wrapText="1"/>
    </xf>
    <xf numFmtId="0" fontId="14" fillId="8" borderId="0" xfId="0" applyFont="1" applyFill="1" applyBorder="1" applyAlignment="1">
      <alignment horizontal="center" vertical="top" wrapText="1"/>
    </xf>
    <xf numFmtId="0" fontId="14" fillId="8" borderId="57" xfId="0" applyFont="1" applyFill="1" applyBorder="1" applyAlignment="1">
      <alignment horizontal="center" vertical="top" wrapText="1"/>
    </xf>
    <xf numFmtId="0" fontId="14" fillId="8" borderId="41" xfId="0" applyFont="1" applyFill="1" applyBorder="1" applyAlignment="1">
      <alignment horizontal="center" vertical="top" wrapText="1"/>
    </xf>
    <xf numFmtId="0" fontId="14" fillId="8" borderId="42" xfId="0" applyFont="1" applyFill="1" applyBorder="1" applyAlignment="1">
      <alignment horizontal="center" vertical="top" wrapText="1"/>
    </xf>
    <xf numFmtId="0" fontId="14" fillId="8" borderId="43" xfId="0" applyFont="1" applyFill="1" applyBorder="1" applyAlignment="1">
      <alignment horizontal="center" vertical="top" wrapText="1"/>
    </xf>
    <xf numFmtId="0" fontId="2" fillId="0" borderId="38" xfId="0" applyFont="1" applyBorder="1" applyAlignment="1">
      <alignment horizontal="center" wrapText="1"/>
    </xf>
    <xf numFmtId="0" fontId="2" fillId="0" borderId="39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39" xfId="0" applyFont="1" applyBorder="1" applyAlignment="1">
      <alignment horizontal="center" wrapText="1"/>
    </xf>
    <xf numFmtId="0" fontId="2" fillId="0" borderId="40" xfId="0" applyFont="1" applyBorder="1" applyAlignment="1">
      <alignment horizontal="center" wrapText="1"/>
    </xf>
    <xf numFmtId="0" fontId="2" fillId="0" borderId="41" xfId="0" applyFont="1" applyBorder="1" applyAlignment="1">
      <alignment horizontal="center" wrapText="1"/>
    </xf>
    <xf numFmtId="0" fontId="2" fillId="0" borderId="42" xfId="0" applyFont="1" applyBorder="1" applyAlignment="1">
      <alignment horizontal="center" wrapText="1"/>
    </xf>
    <xf numFmtId="0" fontId="2" fillId="0" borderId="43" xfId="0" applyFont="1" applyBorder="1" applyAlignment="1">
      <alignment horizontal="center" wrapText="1"/>
    </xf>
    <xf numFmtId="0" fontId="9" fillId="8" borderId="38" xfId="0" applyFont="1" applyFill="1" applyBorder="1" applyAlignment="1">
      <alignment horizontal="center" vertical="center"/>
    </xf>
    <xf numFmtId="0" fontId="9" fillId="8" borderId="39" xfId="0" applyFont="1" applyFill="1" applyBorder="1" applyAlignment="1">
      <alignment horizontal="center" vertical="center"/>
    </xf>
    <xf numFmtId="0" fontId="9" fillId="8" borderId="40" xfId="0" applyFont="1" applyFill="1" applyBorder="1" applyAlignment="1">
      <alignment horizontal="center" vertical="center"/>
    </xf>
    <xf numFmtId="0" fontId="9" fillId="8" borderId="41" xfId="0" applyFont="1" applyFill="1" applyBorder="1" applyAlignment="1">
      <alignment horizontal="center" vertical="center"/>
    </xf>
    <xf numFmtId="0" fontId="9" fillId="8" borderId="42" xfId="0" applyFont="1" applyFill="1" applyBorder="1" applyAlignment="1">
      <alignment horizontal="center" vertical="center"/>
    </xf>
    <xf numFmtId="0" fontId="9" fillId="8" borderId="43" xfId="0" applyFont="1" applyFill="1" applyBorder="1" applyAlignment="1">
      <alignment horizontal="center" vertical="center"/>
    </xf>
    <xf numFmtId="10" fontId="18" fillId="8" borderId="33" xfId="0" applyNumberFormat="1" applyFont="1" applyFill="1" applyBorder="1" applyAlignment="1">
      <alignment horizontal="center"/>
    </xf>
    <xf numFmtId="0" fontId="9" fillId="8" borderId="35" xfId="0" applyFont="1" applyFill="1" applyBorder="1" applyAlignment="1">
      <alignment horizontal="center"/>
    </xf>
    <xf numFmtId="0" fontId="9" fillId="8" borderId="28" xfId="0" applyFont="1" applyFill="1" applyBorder="1" applyAlignment="1">
      <alignment horizontal="center"/>
    </xf>
    <xf numFmtId="171" fontId="18" fillId="8" borderId="36" xfId="0" applyNumberFormat="1" applyFont="1" applyFill="1" applyBorder="1" applyAlignment="1">
      <alignment horizontal="center"/>
    </xf>
    <xf numFmtId="171" fontId="18" fillId="8" borderId="33" xfId="0" applyNumberFormat="1" applyFont="1" applyFill="1" applyBorder="1" applyAlignment="1">
      <alignment horizontal="center"/>
    </xf>
    <xf numFmtId="171" fontId="18" fillId="8" borderId="34" xfId="0" applyNumberFormat="1" applyFont="1" applyFill="1" applyBorder="1" applyAlignment="1">
      <alignment horizontal="center"/>
    </xf>
    <xf numFmtId="0" fontId="9" fillId="8" borderId="33" xfId="0" applyFont="1" applyFill="1" applyBorder="1" applyAlignment="1">
      <alignment horizontal="center"/>
    </xf>
    <xf numFmtId="171" fontId="18" fillId="8" borderId="32" xfId="0" applyNumberFormat="1" applyFont="1" applyFill="1" applyBorder="1" applyAlignment="1">
      <alignment horizontal="center"/>
    </xf>
    <xf numFmtId="171" fontId="18" fillId="8" borderId="37" xfId="0" applyNumberFormat="1" applyFont="1" applyFill="1" applyBorder="1" applyAlignment="1">
      <alignment horizontal="center"/>
    </xf>
    <xf numFmtId="0" fontId="2" fillId="0" borderId="56" xfId="0" applyFont="1" applyBorder="1" applyAlignment="1">
      <alignment horizontal="center" wrapText="1"/>
    </xf>
    <xf numFmtId="0" fontId="2" fillId="0" borderId="0" xfId="0" applyFont="1" applyBorder="1" applyAlignment="1">
      <alignment horizontal="center"/>
    </xf>
    <xf numFmtId="0" fontId="2" fillId="0" borderId="57" xfId="0" applyFont="1" applyBorder="1" applyAlignment="1">
      <alignment horizontal="center"/>
    </xf>
    <xf numFmtId="0" fontId="6" fillId="8" borderId="34" xfId="0" applyFont="1" applyFill="1" applyBorder="1" applyAlignment="1">
      <alignment horizontal="center" vertical="center"/>
    </xf>
    <xf numFmtId="0" fontId="6" fillId="8" borderId="47" xfId="0" applyFont="1" applyFill="1" applyBorder="1" applyAlignment="1">
      <alignment horizontal="center" vertical="center"/>
    </xf>
    <xf numFmtId="0" fontId="6" fillId="8" borderId="36" xfId="0" applyFont="1" applyFill="1" applyBorder="1" applyAlignment="1">
      <alignment horizontal="center" vertical="center"/>
    </xf>
    <xf numFmtId="0" fontId="10" fillId="0" borderId="29" xfId="0" applyFont="1" applyBorder="1" applyAlignment="1">
      <alignment horizontal="center" vertical="center" wrapText="1"/>
    </xf>
    <xf numFmtId="0" fontId="6" fillId="8" borderId="15" xfId="0" applyFont="1" applyFill="1" applyBorder="1" applyAlignment="1">
      <alignment horizontal="center"/>
    </xf>
    <xf numFmtId="0" fontId="6" fillId="8" borderId="16" xfId="0" applyFont="1" applyFill="1" applyBorder="1" applyAlignment="1">
      <alignment horizontal="center"/>
    </xf>
    <xf numFmtId="0" fontId="9" fillId="8" borderId="44" xfId="0" applyFont="1" applyFill="1" applyBorder="1" applyAlignment="1">
      <alignment horizontal="center"/>
    </xf>
    <xf numFmtId="0" fontId="9" fillId="8" borderId="48" xfId="0" applyFont="1" applyFill="1" applyBorder="1" applyAlignment="1">
      <alignment horizontal="center"/>
    </xf>
    <xf numFmtId="0" fontId="9" fillId="8" borderId="49" xfId="0" applyFont="1" applyFill="1" applyBorder="1" applyAlignment="1">
      <alignment horizontal="center"/>
    </xf>
    <xf numFmtId="3" fontId="9" fillId="8" borderId="38" xfId="0" applyNumberFormat="1" applyFont="1" applyFill="1" applyBorder="1" applyAlignment="1">
      <alignment horizontal="center" vertical="center" wrapText="1"/>
    </xf>
    <xf numFmtId="3" fontId="9" fillId="8" borderId="39" xfId="0" applyNumberFormat="1" applyFont="1" applyFill="1" applyBorder="1" applyAlignment="1">
      <alignment horizontal="center" vertical="center" wrapText="1"/>
    </xf>
    <xf numFmtId="3" fontId="9" fillId="8" borderId="4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11" fillId="5" borderId="25" xfId="0" applyFont="1" applyFill="1" applyBorder="1" applyAlignment="1">
      <alignment horizontal="center"/>
    </xf>
    <xf numFmtId="0" fontId="11" fillId="5" borderId="26" xfId="0" applyFont="1" applyFill="1" applyBorder="1" applyAlignment="1">
      <alignment horizontal="center"/>
    </xf>
    <xf numFmtId="0" fontId="11" fillId="5" borderId="27" xfId="0" applyFont="1" applyFill="1" applyBorder="1" applyAlignment="1">
      <alignment horizontal="center"/>
    </xf>
    <xf numFmtId="0" fontId="13" fillId="2" borderId="44" xfId="0" applyFont="1" applyFill="1" applyBorder="1" applyAlignment="1">
      <alignment horizontal="center"/>
    </xf>
    <xf numFmtId="0" fontId="0" fillId="2" borderId="45" xfId="0" applyFill="1" applyBorder="1" applyAlignment="1">
      <alignment horizontal="center"/>
    </xf>
    <xf numFmtId="0" fontId="0" fillId="2" borderId="46" xfId="0" applyFill="1" applyBorder="1" applyAlignment="1">
      <alignment horizontal="center"/>
    </xf>
    <xf numFmtId="0" fontId="0" fillId="0" borderId="0" xfId="0" applyAlignment="1">
      <alignment horizontal="center" wrapText="1"/>
    </xf>
    <xf numFmtId="0" fontId="13" fillId="7" borderId="17" xfId="0" applyFont="1" applyFill="1" applyBorder="1" applyAlignment="1">
      <alignment horizontal="center" vertical="top" wrapText="1"/>
    </xf>
    <xf numFmtId="0" fontId="13" fillId="7" borderId="18" xfId="0" applyFont="1" applyFill="1" applyBorder="1" applyAlignment="1">
      <alignment horizontal="center" vertical="top" wrapText="1"/>
    </xf>
    <xf numFmtId="0" fontId="0" fillId="0" borderId="0" xfId="0" applyAlignment="1">
      <alignment horizontal="left"/>
    </xf>
    <xf numFmtId="0" fontId="11" fillId="6" borderId="19" xfId="0" applyFont="1" applyFill="1" applyBorder="1" applyAlignment="1">
      <alignment horizontal="center" vertical="center"/>
    </xf>
    <xf numFmtId="0" fontId="11" fillId="6" borderId="20" xfId="0" applyFont="1" applyFill="1" applyBorder="1" applyAlignment="1">
      <alignment horizontal="center" vertical="center"/>
    </xf>
    <xf numFmtId="0" fontId="11" fillId="6" borderId="21" xfId="0" applyFont="1" applyFill="1" applyBorder="1" applyAlignment="1">
      <alignment horizontal="center" vertical="center"/>
    </xf>
    <xf numFmtId="0" fontId="11" fillId="6" borderId="22" xfId="0" applyFont="1" applyFill="1" applyBorder="1" applyAlignment="1">
      <alignment horizontal="center" vertical="center"/>
    </xf>
    <xf numFmtId="0" fontId="11" fillId="6" borderId="23" xfId="0" applyFont="1" applyFill="1" applyBorder="1" applyAlignment="1">
      <alignment horizontal="center" vertical="center"/>
    </xf>
    <xf numFmtId="0" fontId="11" fillId="6" borderId="2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3" fillId="13" borderId="44" xfId="0" applyFont="1" applyFill="1" applyBorder="1" applyAlignment="1">
      <alignment horizontal="center"/>
    </xf>
    <xf numFmtId="0" fontId="0" fillId="13" borderId="45" xfId="0" applyFill="1" applyBorder="1" applyAlignment="1">
      <alignment horizontal="center"/>
    </xf>
    <xf numFmtId="0" fontId="13" fillId="14" borderId="44" xfId="0" applyFont="1" applyFill="1" applyBorder="1" applyAlignment="1">
      <alignment horizontal="center"/>
    </xf>
    <xf numFmtId="0" fontId="0" fillId="14" borderId="45" xfId="0" applyFill="1" applyBorder="1" applyAlignment="1">
      <alignment horizontal="center"/>
    </xf>
    <xf numFmtId="0" fontId="0" fillId="14" borderId="46" xfId="0" applyFill="1" applyBorder="1" applyAlignment="1">
      <alignment horizontal="center"/>
    </xf>
    <xf numFmtId="0" fontId="1" fillId="2" borderId="33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indent="1"/>
    </xf>
    <xf numFmtId="0" fontId="0" fillId="3" borderId="3" xfId="0" applyFill="1" applyBorder="1" applyAlignment="1">
      <alignment horizontal="center" vertical="center" indent="1"/>
    </xf>
    <xf numFmtId="0" fontId="0" fillId="3" borderId="4" xfId="0" applyFill="1" applyBorder="1" applyAlignment="1">
      <alignment horizontal="center" vertical="center" indent="1"/>
    </xf>
    <xf numFmtId="0" fontId="0" fillId="3" borderId="5" xfId="0" applyFill="1" applyBorder="1" applyAlignment="1">
      <alignment horizontal="center" vertical="center" indent="1"/>
    </xf>
    <xf numFmtId="0" fontId="0" fillId="3" borderId="6" xfId="0" applyFill="1" applyBorder="1" applyAlignment="1">
      <alignment horizontal="center" vertical="center" indent="1"/>
    </xf>
    <xf numFmtId="0" fontId="0" fillId="3" borderId="7" xfId="0" applyFill="1" applyBorder="1" applyAlignment="1">
      <alignment horizontal="center" vertical="center" indent="1"/>
    </xf>
    <xf numFmtId="0" fontId="9" fillId="11" borderId="28" xfId="0" applyFont="1" applyFill="1" applyBorder="1" applyAlignment="1">
      <alignment horizontal="center" vertical="center"/>
    </xf>
    <xf numFmtId="0" fontId="9" fillId="11" borderId="29" xfId="0" applyFont="1" applyFill="1" applyBorder="1" applyAlignment="1">
      <alignment horizontal="center" vertical="center"/>
    </xf>
    <xf numFmtId="0" fontId="9" fillId="11" borderId="30" xfId="0" applyFont="1" applyFill="1" applyBorder="1" applyAlignment="1">
      <alignment horizontal="center" vertical="center"/>
    </xf>
    <xf numFmtId="0" fontId="9" fillId="11" borderId="3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9" fillId="11" borderId="32" xfId="0" applyFont="1" applyFill="1" applyBorder="1" applyAlignment="1">
      <alignment horizontal="center" vertical="center"/>
    </xf>
    <xf numFmtId="0" fontId="9" fillId="3" borderId="28" xfId="0" applyFont="1" applyFill="1" applyBorder="1" applyAlignment="1">
      <alignment horizontal="center" vertical="center"/>
    </xf>
    <xf numFmtId="0" fontId="9" fillId="3" borderId="29" xfId="0" applyFont="1" applyFill="1" applyBorder="1" applyAlignment="1">
      <alignment horizontal="center" vertical="center"/>
    </xf>
    <xf numFmtId="0" fontId="9" fillId="3" borderId="30" xfId="0" applyFont="1" applyFill="1" applyBorder="1" applyAlignment="1">
      <alignment horizontal="center" vertical="center"/>
    </xf>
    <xf numFmtId="0" fontId="9" fillId="3" borderId="3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32" xfId="0" applyFont="1" applyFill="1" applyBorder="1" applyAlignment="1">
      <alignment horizontal="center" vertical="center"/>
    </xf>
    <xf numFmtId="0" fontId="9" fillId="9" borderId="28" xfId="0" applyFont="1" applyFill="1" applyBorder="1" applyAlignment="1">
      <alignment horizontal="center" vertical="center"/>
    </xf>
    <xf numFmtId="0" fontId="9" fillId="9" borderId="29" xfId="0" applyFont="1" applyFill="1" applyBorder="1" applyAlignment="1">
      <alignment horizontal="center" vertical="center"/>
    </xf>
    <xf numFmtId="0" fontId="9" fillId="9" borderId="30" xfId="0" applyFont="1" applyFill="1" applyBorder="1" applyAlignment="1">
      <alignment horizontal="center" vertical="center"/>
    </xf>
    <xf numFmtId="0" fontId="9" fillId="9" borderId="3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9" borderId="32" xfId="0" applyFont="1" applyFill="1" applyBorder="1" applyAlignment="1">
      <alignment horizontal="center" vertical="center"/>
    </xf>
    <xf numFmtId="0" fontId="9" fillId="10" borderId="28" xfId="0" applyFont="1" applyFill="1" applyBorder="1" applyAlignment="1">
      <alignment horizontal="center" vertical="center"/>
    </xf>
    <xf numFmtId="0" fontId="9" fillId="10" borderId="30" xfId="0" applyFont="1" applyFill="1" applyBorder="1" applyAlignment="1">
      <alignment horizontal="center" vertical="center"/>
    </xf>
    <xf numFmtId="0" fontId="9" fillId="10" borderId="31" xfId="0" applyFont="1" applyFill="1" applyBorder="1" applyAlignment="1">
      <alignment horizontal="center" vertical="center"/>
    </xf>
    <xf numFmtId="0" fontId="9" fillId="10" borderId="32" xfId="0" applyFont="1" applyFill="1" applyBorder="1" applyAlignment="1">
      <alignment horizontal="center" vertical="center"/>
    </xf>
    <xf numFmtId="0" fontId="16" fillId="11" borderId="0" xfId="0" applyFont="1" applyFill="1" applyAlignment="1">
      <alignment horizontal="center"/>
    </xf>
    <xf numFmtId="0" fontId="2" fillId="0" borderId="0" xfId="0" applyFont="1" applyAlignment="1">
      <alignment horizontal="center" wrapText="1"/>
    </xf>
    <xf numFmtId="0" fontId="8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64" fontId="25" fillId="0" borderId="0" xfId="0" applyNumberFormat="1" applyFont="1" applyFill="1" applyBorder="1" applyAlignme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Indexed Financial Growth (FY2020-21 = 100)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'Common Size and Trend'!$A$5</c:f>
              <c:strCache>
                <c:ptCount val="1"/>
                <c:pt idx="0">
                  <c:v>Revenue Index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'Common Size and Trend'!$B$3:$F$3</c:f>
              <c:strCache>
                <c:ptCount val="5"/>
                <c:pt idx="0">
                  <c:v>FY2020-21</c:v>
                </c:pt>
                <c:pt idx="1">
                  <c:v>FY2021-22</c:v>
                </c:pt>
                <c:pt idx="2">
                  <c:v>FY2022-23</c:v>
                </c:pt>
                <c:pt idx="3">
                  <c:v>FY2023-24</c:v>
                </c:pt>
                <c:pt idx="4">
                  <c:v>FY2024-25</c:v>
                </c:pt>
              </c:strCache>
            </c:strRef>
          </c:cat>
          <c:val>
            <c:numRef>
              <c:f>'Common Size and Trend'!$B$5:$F$5</c:f>
              <c:numCache>
                <c:formatCode>0.0</c:formatCode>
                <c:ptCount val="5"/>
                <c:pt idx="0" formatCode="General">
                  <c:v>100</c:v>
                </c:pt>
                <c:pt idx="1">
                  <c:v>111.09002229039307</c:v>
                </c:pt>
                <c:pt idx="2">
                  <c:v>128.34411070159564</c:v>
                </c:pt>
                <c:pt idx="3">
                  <c:v>131.4890423958862</c:v>
                </c:pt>
                <c:pt idx="4">
                  <c:v>133.91891593652755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76-4EA1-905E-7337DB59A46F}"/>
            </c:ext>
          </c:extLst>
        </c:ser>
        <c:ser>
          <c:idx val="2"/>
          <c:order val="1"/>
          <c:tx>
            <c:strRef>
              <c:f>'Common Size and Trend'!$A$6</c:f>
              <c:strCache>
                <c:ptCount val="1"/>
                <c:pt idx="0">
                  <c:v>EBITDA Index</c:v>
                </c:pt>
              </c:strCache>
            </c:strRef>
          </c:tx>
          <c:spPr>
            <a:solidFill>
              <a:srgbClr val="757171"/>
            </a:solidFill>
            <a:ln>
              <a:noFill/>
            </a:ln>
            <a:effectLst/>
          </c:spPr>
          <c:invertIfNegative val="0"/>
          <c:cat>
            <c:strRef>
              <c:f>'Common Size and Trend'!$B$3:$F$3</c:f>
              <c:strCache>
                <c:ptCount val="5"/>
                <c:pt idx="0">
                  <c:v>FY2020-21</c:v>
                </c:pt>
                <c:pt idx="1">
                  <c:v>FY2021-22</c:v>
                </c:pt>
                <c:pt idx="2">
                  <c:v>FY2022-23</c:v>
                </c:pt>
                <c:pt idx="3">
                  <c:v>FY2023-24</c:v>
                </c:pt>
                <c:pt idx="4">
                  <c:v>FY2024-25</c:v>
                </c:pt>
              </c:strCache>
            </c:strRef>
          </c:cat>
          <c:val>
            <c:numRef>
              <c:f>'Common Size and Trend'!$B$6:$F$6</c:f>
              <c:numCache>
                <c:formatCode>0.0</c:formatCode>
                <c:ptCount val="5"/>
                <c:pt idx="0" formatCode="General">
                  <c:v>100</c:v>
                </c:pt>
                <c:pt idx="1">
                  <c:v>110.41151536559519</c:v>
                </c:pt>
                <c:pt idx="2">
                  <c:v>120.38149063935006</c:v>
                </c:pt>
                <c:pt idx="3">
                  <c:v>125.30907806428824</c:v>
                </c:pt>
                <c:pt idx="4">
                  <c:v>126.1833274461321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76-4EA1-905E-7337DB59A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63313160"/>
        <c:axId val="1363315208"/>
      </c:barChart>
      <c:lineChart>
        <c:grouping val="standard"/>
        <c:varyColors val="0"/>
        <c:ser>
          <c:idx val="3"/>
          <c:order val="2"/>
          <c:tx>
            <c:strRef>
              <c:f>'Common Size and Trend'!$A$7</c:f>
              <c:strCache>
                <c:ptCount val="1"/>
                <c:pt idx="0">
                  <c:v>PAT Index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'Common Size and Trend'!$B$3:$F$3</c:f>
              <c:strCache>
                <c:ptCount val="5"/>
                <c:pt idx="0">
                  <c:v>FY2020-21</c:v>
                </c:pt>
                <c:pt idx="1">
                  <c:v>FY2021-22</c:v>
                </c:pt>
                <c:pt idx="2">
                  <c:v>FY2022-23</c:v>
                </c:pt>
                <c:pt idx="3">
                  <c:v>FY2023-24</c:v>
                </c:pt>
                <c:pt idx="4">
                  <c:v>FY2024-25</c:v>
                </c:pt>
              </c:strCache>
            </c:strRef>
          </c:cat>
          <c:val>
            <c:numRef>
              <c:f>'Common Size and Trend'!$B$7:$F$7</c:f>
              <c:numCache>
                <c:formatCode>0.0</c:formatCode>
                <c:ptCount val="5"/>
                <c:pt idx="0" formatCode="General">
                  <c:v>100</c:v>
                </c:pt>
                <c:pt idx="1">
                  <c:v>110.86245914005532</c:v>
                </c:pt>
                <c:pt idx="2">
                  <c:v>125.24515966809153</c:v>
                </c:pt>
                <c:pt idx="3">
                  <c:v>127.1561478501383</c:v>
                </c:pt>
                <c:pt idx="4">
                  <c:v>133.81946190595926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A76-4EA1-905E-7337DB59A46F}"/>
            </c:ext>
          </c:extLst>
        </c:ser>
        <c:ser>
          <c:idx val="4"/>
          <c:order val="3"/>
          <c:tx>
            <c:strRef>
              <c:f>'Common Size and Trend'!$A$8</c:f>
              <c:strCache>
                <c:ptCount val="1"/>
                <c:pt idx="0">
                  <c:v>CFO Index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'Common Size and Trend'!$B$3:$F$3</c:f>
              <c:strCache>
                <c:ptCount val="5"/>
                <c:pt idx="0">
                  <c:v>FY2020-21</c:v>
                </c:pt>
                <c:pt idx="1">
                  <c:v>FY2021-22</c:v>
                </c:pt>
                <c:pt idx="2">
                  <c:v>FY2022-23</c:v>
                </c:pt>
                <c:pt idx="3">
                  <c:v>FY2023-24</c:v>
                </c:pt>
                <c:pt idx="4">
                  <c:v>FY2024-25</c:v>
                </c:pt>
              </c:strCache>
            </c:strRef>
          </c:cat>
          <c:val>
            <c:numRef>
              <c:f>'Common Size and Trend'!$B$8:$F$8</c:f>
              <c:numCache>
                <c:formatCode>0.0</c:formatCode>
                <c:ptCount val="5"/>
                <c:pt idx="0" formatCode="General">
                  <c:v>100</c:v>
                </c:pt>
                <c:pt idx="1">
                  <c:v>103.17908866125045</c:v>
                </c:pt>
                <c:pt idx="2">
                  <c:v>112.09819851642528</c:v>
                </c:pt>
                <c:pt idx="3">
                  <c:v>134.04274108089012</c:v>
                </c:pt>
                <c:pt idx="4">
                  <c:v>121.76792652772872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A76-4EA1-905E-7337DB59A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3313160"/>
        <c:axId val="1363315208"/>
      </c:lineChart>
      <c:catAx>
        <c:axId val="1363313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315208"/>
        <c:crosses val="autoZero"/>
        <c:auto val="1"/>
        <c:lblAlgn val="ctr"/>
        <c:lblOffset val="100"/>
        <c:noMultiLvlLbl val="0"/>
      </c:catAx>
      <c:valAx>
        <c:axId val="1363315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solidFill>
            <a:srgbClr val="FFFFFF"/>
          </a:solidFill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313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Profitability &amp; Cash Conversion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'Common Size and Trend'!$A$10</c:f>
              <c:strCache>
                <c:ptCount val="1"/>
                <c:pt idx="0">
                  <c:v>EBITDA as %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'Common Size and Trend'!B3:F3</c:f>
              <c:strCache>
                <c:ptCount val="5"/>
                <c:pt idx="0">
                  <c:v>FY2020-21</c:v>
                </c:pt>
                <c:pt idx="1">
                  <c:v>FY2021-22</c:v>
                </c:pt>
                <c:pt idx="2">
                  <c:v>FY2022-23</c:v>
                </c:pt>
                <c:pt idx="3">
                  <c:v>FY2023-24</c:v>
                </c:pt>
                <c:pt idx="4">
                  <c:v>FY2024-25</c:v>
                </c:pt>
              </c:strCache>
            </c:strRef>
          </c:cat>
          <c:val>
            <c:numRef>
              <c:f>'Common Size and Trend'!$B$10:$F$10</c:f>
              <c:numCache>
                <c:formatCode>0.0%</c:formatCode>
                <c:ptCount val="5"/>
                <c:pt idx="0">
                  <c:v>0.24991723863962392</c:v>
                </c:pt>
                <c:pt idx="1">
                  <c:v>0.24839081373172281</c:v>
                </c:pt>
                <c:pt idx="2">
                  <c:v>0.23441207827492519</c:v>
                </c:pt>
                <c:pt idx="3">
                  <c:v>0.23817116769331476</c:v>
                </c:pt>
                <c:pt idx="4">
                  <c:v>0.2354812129202373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73-4F86-8182-E99BF931AF2C}"/>
            </c:ext>
          </c:extLst>
        </c:ser>
        <c:ser>
          <c:idx val="1"/>
          <c:order val="1"/>
          <c:tx>
            <c:strRef>
              <c:f>'Common Size and Trend'!$A$11</c:f>
              <c:strCache>
                <c:ptCount val="1"/>
                <c:pt idx="0">
                  <c:v>PAT as % of 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'Common Size and Trend'!B3:F3</c:f>
              <c:strCache>
                <c:ptCount val="5"/>
                <c:pt idx="0">
                  <c:v>FY2020-21</c:v>
                </c:pt>
                <c:pt idx="1">
                  <c:v>FY2021-22</c:v>
                </c:pt>
                <c:pt idx="2">
                  <c:v>FY2022-23</c:v>
                </c:pt>
                <c:pt idx="3">
                  <c:v>FY2023-24</c:v>
                </c:pt>
                <c:pt idx="4">
                  <c:v>FY2024-25</c:v>
                </c:pt>
              </c:strCache>
            </c:strRef>
          </c:cat>
          <c:val>
            <c:numRef>
              <c:f>'Common Size and Trend'!$B$11:$F$11</c:f>
              <c:numCache>
                <c:formatCode>0.0%</c:formatCode>
                <c:ptCount val="5"/>
                <c:pt idx="0">
                  <c:v>0.17554236278166449</c:v>
                </c:pt>
                <c:pt idx="1">
                  <c:v>0.17518277177368086</c:v>
                </c:pt>
                <c:pt idx="2">
                  <c:v>0.17130377961963064</c:v>
                </c:pt>
                <c:pt idx="3">
                  <c:v>0.16975780056731399</c:v>
                </c:pt>
                <c:pt idx="4">
                  <c:v>0.17541199736321689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73-4F86-8182-E99BF931AF2C}"/>
            </c:ext>
          </c:extLst>
        </c:ser>
        <c:ser>
          <c:idx val="2"/>
          <c:order val="2"/>
          <c:tx>
            <c:strRef>
              <c:f>'Common Size and Trend'!$A$12</c:f>
              <c:strCache>
                <c:ptCount val="1"/>
                <c:pt idx="0">
                  <c:v>CFO as % of Revenue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'Common Size and Trend'!B3:F3</c:f>
              <c:strCache>
                <c:ptCount val="5"/>
                <c:pt idx="0">
                  <c:v>FY2020-21</c:v>
                </c:pt>
                <c:pt idx="1">
                  <c:v>FY2021-22</c:v>
                </c:pt>
                <c:pt idx="2">
                  <c:v>FY2022-23</c:v>
                </c:pt>
                <c:pt idx="3">
                  <c:v>FY2023-24</c:v>
                </c:pt>
                <c:pt idx="4">
                  <c:v>FY2024-25</c:v>
                </c:pt>
              </c:strCache>
            </c:strRef>
          </c:cat>
          <c:val>
            <c:numRef>
              <c:f>'Common Size and Trend'!$B$12:$F$12</c:f>
              <c:numCache>
                <c:formatCode>0.0%</c:formatCode>
                <c:ptCount val="5"/>
                <c:pt idx="0">
                  <c:v>0.24991723863962392</c:v>
                </c:pt>
                <c:pt idx="1">
                  <c:v>0.23212015257469804</c:v>
                </c:pt>
                <c:pt idx="2">
                  <c:v>0.21828249131616054</c:v>
                </c:pt>
                <c:pt idx="3">
                  <c:v>0.2547709763507276</c:v>
                </c:pt>
                <c:pt idx="4">
                  <c:v>0.2272412656558998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673-4F86-8182-E99BF931A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6011656"/>
        <c:axId val="1746013704"/>
      </c:lineChart>
      <c:catAx>
        <c:axId val="1746011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013704"/>
        <c:crosses val="autoZero"/>
        <c:auto val="1"/>
        <c:lblAlgn val="ctr"/>
        <c:lblOffset val="100"/>
        <c:noMultiLvlLbl val="0"/>
      </c:catAx>
      <c:valAx>
        <c:axId val="1746013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011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Dupont ROE Driver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Net Profit Margin 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'DuPont Analysis'!$C$3:$F$3</c:f>
              <c:strCache>
                <c:ptCount val="4"/>
                <c:pt idx="0">
                  <c:v>FY2021-22</c:v>
                </c:pt>
                <c:pt idx="1">
                  <c:v>FY2022-23</c:v>
                </c:pt>
                <c:pt idx="2">
                  <c:v>FY2023-24</c:v>
                </c:pt>
                <c:pt idx="3">
                  <c:v>FY2024-25</c:v>
                </c:pt>
              </c:strCache>
            </c:strRef>
          </c:cat>
          <c:val>
            <c:numRef>
              <c:f>'DuPont Analysis'!$C$5:$F$5</c:f>
              <c:numCache>
                <c:formatCode>0.0%</c:formatCode>
                <c:ptCount val="4"/>
                <c:pt idx="0">
                  <c:v>0.17518277177368086</c:v>
                </c:pt>
                <c:pt idx="1">
                  <c:v>0.17130377961963064</c:v>
                </c:pt>
                <c:pt idx="2">
                  <c:v>0.16975780056731399</c:v>
                </c:pt>
                <c:pt idx="3">
                  <c:v>0.17541199736321689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F8A-4408-9248-CA027BEE8A1A}"/>
            </c:ext>
          </c:extLst>
        </c:ser>
        <c:ser>
          <c:idx val="2"/>
          <c:order val="1"/>
          <c:tx>
            <c:v>Asset Turnover 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'DuPont Analysis'!$C$3:$F$3</c:f>
              <c:strCache>
                <c:ptCount val="4"/>
                <c:pt idx="0">
                  <c:v>FY2021-22</c:v>
                </c:pt>
                <c:pt idx="1">
                  <c:v>FY2022-23</c:v>
                </c:pt>
                <c:pt idx="2">
                  <c:v>FY2023-24</c:v>
                </c:pt>
                <c:pt idx="3">
                  <c:v>FY2024-25</c:v>
                </c:pt>
              </c:strCache>
            </c:strRef>
          </c:cat>
          <c:val>
            <c:numRef>
              <c:f>'DuPont Analysis'!$C$6:$F$6</c:f>
              <c:numCache>
                <c:formatCode>0.00</c:formatCode>
                <c:ptCount val="4"/>
                <c:pt idx="0">
                  <c:v>0.73</c:v>
                </c:pt>
                <c:pt idx="1">
                  <c:v>0.82160466791935693</c:v>
                </c:pt>
                <c:pt idx="2">
                  <c:v>0.80024983042424158</c:v>
                </c:pt>
                <c:pt idx="3">
                  <c:v>0.78100766463520588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F8A-4408-9248-CA027BEE8A1A}"/>
            </c:ext>
          </c:extLst>
        </c:ser>
        <c:ser>
          <c:idx val="3"/>
          <c:order val="2"/>
          <c:tx>
            <c:v>Equity Multiplier 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'DuPont Analysis'!$C$3:$F$3</c:f>
              <c:strCache>
                <c:ptCount val="4"/>
                <c:pt idx="0">
                  <c:v>FY2021-22</c:v>
                </c:pt>
                <c:pt idx="1">
                  <c:v>FY2022-23</c:v>
                </c:pt>
                <c:pt idx="2">
                  <c:v>FY2023-24</c:v>
                </c:pt>
                <c:pt idx="3">
                  <c:v>FY2024-25</c:v>
                </c:pt>
              </c:strCache>
            </c:strRef>
          </c:cat>
          <c:val>
            <c:numRef>
              <c:f>'DuPont Analysis'!$C$7:$F$7</c:f>
              <c:numCache>
                <c:formatCode>0.00</c:formatCode>
                <c:ptCount val="4"/>
                <c:pt idx="0">
                  <c:v>1.4330727488200927</c:v>
                </c:pt>
                <c:pt idx="1">
                  <c:v>1.4301936735333043</c:v>
                </c:pt>
                <c:pt idx="2">
                  <c:v>1.471440994525367</c:v>
                </c:pt>
                <c:pt idx="3">
                  <c:v>1.5519345624513115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F8A-4408-9248-CA027BEE8A1A}"/>
            </c:ext>
          </c:extLst>
        </c:ser>
        <c:ser>
          <c:idx val="4"/>
          <c:order val="3"/>
          <c:tx>
            <c:v>DuPont ROE 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'DuPont Analysis'!$C$3:$F$3</c:f>
              <c:strCache>
                <c:ptCount val="4"/>
                <c:pt idx="0">
                  <c:v>FY2021-22</c:v>
                </c:pt>
                <c:pt idx="1">
                  <c:v>FY2022-23</c:v>
                </c:pt>
                <c:pt idx="2">
                  <c:v>FY2023-24</c:v>
                </c:pt>
                <c:pt idx="3">
                  <c:v>FY2024-25</c:v>
                </c:pt>
              </c:strCache>
            </c:strRef>
          </c:cat>
          <c:val>
            <c:numRef>
              <c:f>'DuPont Analysis'!$C$8:$F$8</c:f>
              <c:numCache>
                <c:formatCode>0.0%</c:formatCode>
                <c:ptCount val="4"/>
                <c:pt idx="0">
                  <c:v>0.18326624909289121</c:v>
                </c:pt>
                <c:pt idx="1">
                  <c:v>0.20129115688869581</c:v>
                </c:pt>
                <c:pt idx="2">
                  <c:v>0.19989327430480067</c:v>
                </c:pt>
                <c:pt idx="3">
                  <c:v>0.21261210874298386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F8A-4408-9248-CA027BEE8A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460424"/>
        <c:axId val="30466568"/>
      </c:barChart>
      <c:catAx>
        <c:axId val="30460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66568"/>
        <c:crosses val="autoZero"/>
        <c:auto val="1"/>
        <c:lblAlgn val="ctr"/>
        <c:lblOffset val="100"/>
        <c:noMultiLvlLbl val="0"/>
      </c:catAx>
      <c:valAx>
        <c:axId val="30466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60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 Scenario Camparison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Base Revenue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'Forecast &amp; Scenario'!$C$8:$E$8</c:f>
              <c:strCache>
                <c:ptCount val="3"/>
                <c:pt idx="0">
                  <c:v>FY2025-26</c:v>
                </c:pt>
                <c:pt idx="1">
                  <c:v>FY2026-27</c:v>
                </c:pt>
                <c:pt idx="2">
                  <c:v>FY2027-28</c:v>
                </c:pt>
              </c:strCache>
            </c:strRef>
          </c:cat>
          <c:val>
            <c:numRef>
              <c:f>'Forecast &amp; Scenario'!$C$10:$E$10</c:f>
              <c:numCache>
                <c:formatCode>#,##0</c:formatCode>
                <c:ptCount val="3"/>
                <c:pt idx="0">
                  <c:v>63714</c:v>
                </c:pt>
                <c:pt idx="1">
                  <c:v>66899.7</c:v>
                </c:pt>
                <c:pt idx="2" formatCode="0">
                  <c:v>70244.684999999998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8C-452E-BF98-C49AD3F6778A}"/>
            </c:ext>
          </c:extLst>
        </c:ser>
        <c:ser>
          <c:idx val="1"/>
          <c:order val="1"/>
          <c:tx>
            <c:v>Bear Revenue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'Forecast &amp; Scenario'!$C$8:$E$8</c:f>
              <c:strCache>
                <c:ptCount val="3"/>
                <c:pt idx="0">
                  <c:v>FY2025-26</c:v>
                </c:pt>
                <c:pt idx="1">
                  <c:v>FY2026-27</c:v>
                </c:pt>
                <c:pt idx="2">
                  <c:v>FY2027-28</c:v>
                </c:pt>
              </c:strCache>
            </c:strRef>
          </c:cat>
          <c:val>
            <c:numRef>
              <c:f>'Forecast &amp; Scenario'!$C$15:$E$15</c:f>
              <c:numCache>
                <c:formatCode>0</c:formatCode>
                <c:ptCount val="3"/>
                <c:pt idx="0">
                  <c:v>61893.599999999999</c:v>
                </c:pt>
                <c:pt idx="1">
                  <c:v>63131.472000000002</c:v>
                </c:pt>
                <c:pt idx="2">
                  <c:v>64394.101440000006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8C-452E-BF98-C49AD3F6778A}"/>
            </c:ext>
          </c:extLst>
        </c:ser>
        <c:ser>
          <c:idx val="2"/>
          <c:order val="2"/>
          <c:tx>
            <c:v>Bull Revenue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'Forecast &amp; Scenario'!$C$8:$E$8</c:f>
              <c:strCache>
                <c:ptCount val="3"/>
                <c:pt idx="0">
                  <c:v>FY2025-26</c:v>
                </c:pt>
                <c:pt idx="1">
                  <c:v>FY2026-27</c:v>
                </c:pt>
                <c:pt idx="2">
                  <c:v>FY2027-28</c:v>
                </c:pt>
              </c:strCache>
            </c:strRef>
          </c:cat>
          <c:val>
            <c:numRef>
              <c:f>'Forecast &amp; Scenario'!$C$20:$E$20</c:f>
              <c:numCache>
                <c:formatCode>0</c:formatCode>
                <c:ptCount val="3"/>
                <c:pt idx="0">
                  <c:v>65534.400000000001</c:v>
                </c:pt>
                <c:pt idx="1">
                  <c:v>70777.152000000002</c:v>
                </c:pt>
                <c:pt idx="2">
                  <c:v>76439.324160000004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F8C-452E-BF98-C49AD3F67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9658375"/>
        <c:axId val="2129660423"/>
      </c:barChart>
      <c:catAx>
        <c:axId val="2129658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660423"/>
        <c:crosses val="autoZero"/>
        <c:auto val="1"/>
        <c:lblAlgn val="ctr"/>
        <c:lblOffset val="100"/>
        <c:noMultiLvlLbl val="0"/>
      </c:catAx>
      <c:valAx>
        <c:axId val="2129660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658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Implied Equity Value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C65911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('Valuation Analysis'!$A$13,'Valuation Analysis'!$A$15)</c:f>
              <c:strCache>
                <c:ptCount val="2"/>
                <c:pt idx="0">
                  <c:v>P/E Implied Equity Value</c:v>
                </c:pt>
                <c:pt idx="1">
                  <c:v>EV/EBITDA Implied Equity Value</c:v>
                </c:pt>
              </c:strCache>
            </c:strRef>
          </c:cat>
          <c:val>
            <c:numRef>
              <c:f>('Valuation Analysis'!$B$13,'Valuation Analysis'!$B$15)</c:f>
              <c:numCache>
                <c:formatCode>_-* #,##0_-;\-* #,##0_-;_-* "-"??_-;_-@_-</c:formatCode>
                <c:ptCount val="2"/>
                <c:pt idx="0">
                  <c:v>532200</c:v>
                </c:pt>
                <c:pt idx="1">
                  <c:v>433080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C3-45F3-A57B-9948014776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0976007"/>
        <c:axId val="150978055"/>
      </c:barChart>
      <c:catAx>
        <c:axId val="150976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78055"/>
        <c:crosses val="autoZero"/>
        <c:auto val="1"/>
        <c:lblAlgn val="ctr"/>
        <c:lblOffset val="100"/>
        <c:noMultiLvlLbl val="0"/>
      </c:catAx>
      <c:valAx>
        <c:axId val="150978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₹ Crore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solidFill>
            <a:srgbClr val="FFFFFF"/>
          </a:solidFill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76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Revenue, EBITDA &amp; PAT Trend (₹ Cr)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'Raw Data'!$A$4</c:f>
              <c:strCache>
                <c:ptCount val="1"/>
                <c:pt idx="0">
                  <c:v>Turnover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'Raw Data'!$B$3:$F$3</c:f>
              <c:strCache>
                <c:ptCount val="5"/>
                <c:pt idx="0">
                  <c:v>Fy 2020-21</c:v>
                </c:pt>
                <c:pt idx="1">
                  <c:v>Fy 2021-22</c:v>
                </c:pt>
                <c:pt idx="2">
                  <c:v>Fy 2022-23</c:v>
                </c:pt>
                <c:pt idx="3">
                  <c:v>Fy 2023-24</c:v>
                </c:pt>
                <c:pt idx="4">
                  <c:v>Fy 2024-25</c:v>
                </c:pt>
              </c:strCache>
            </c:strRef>
          </c:cat>
          <c:val>
            <c:numRef>
              <c:f>'Raw Data'!$B$4:$F$4</c:f>
              <c:numCache>
                <c:formatCode>#,##0</c:formatCode>
                <c:ptCount val="5"/>
                <c:pt idx="0">
                  <c:v>45311</c:v>
                </c:pt>
                <c:pt idx="1">
                  <c:v>50336</c:v>
                </c:pt>
                <c:pt idx="2">
                  <c:v>58154</c:v>
                </c:pt>
                <c:pt idx="3">
                  <c:v>59579</c:v>
                </c:pt>
                <c:pt idx="4">
                  <c:v>60680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AD-416E-94FA-7DCDE5B9694D}"/>
            </c:ext>
          </c:extLst>
        </c:ser>
        <c:ser>
          <c:idx val="1"/>
          <c:order val="1"/>
          <c:tx>
            <c:strRef>
              <c:f>'Raw Data'!$A$5</c:f>
              <c:strCache>
                <c:ptCount val="1"/>
                <c:pt idx="0">
                  <c:v>EBITDA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'Raw Data'!$B$3:$F$3</c:f>
              <c:strCache>
                <c:ptCount val="5"/>
                <c:pt idx="0">
                  <c:v>Fy 2020-21</c:v>
                </c:pt>
                <c:pt idx="1">
                  <c:v>Fy 2021-22</c:v>
                </c:pt>
                <c:pt idx="2">
                  <c:v>Fy 2022-23</c:v>
                </c:pt>
                <c:pt idx="3">
                  <c:v>Fy 2023-24</c:v>
                </c:pt>
                <c:pt idx="4">
                  <c:v>Fy 2024-25</c:v>
                </c:pt>
              </c:strCache>
            </c:strRef>
          </c:cat>
          <c:val>
            <c:numRef>
              <c:f>'Raw Data'!$B$5:$F$5</c:f>
              <c:numCache>
                <c:formatCode>#,##0</c:formatCode>
                <c:ptCount val="5"/>
                <c:pt idx="0">
                  <c:v>11324</c:v>
                </c:pt>
                <c:pt idx="1">
                  <c:v>12503</c:v>
                </c:pt>
                <c:pt idx="2">
                  <c:v>13632</c:v>
                </c:pt>
                <c:pt idx="3">
                  <c:v>14190</c:v>
                </c:pt>
                <c:pt idx="4">
                  <c:v>14289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AD-416E-94FA-7DCDE5B9694D}"/>
            </c:ext>
          </c:extLst>
        </c:ser>
        <c:ser>
          <c:idx val="2"/>
          <c:order val="2"/>
          <c:tx>
            <c:strRef>
              <c:f>'Raw Data'!$A$6</c:f>
              <c:strCache>
                <c:ptCount val="1"/>
                <c:pt idx="0">
                  <c:v>PAT</c:v>
                </c:pt>
              </c:strCache>
            </c:strRef>
          </c:tx>
          <c:spPr>
            <a:ln w="28575" cap="rnd">
              <a:solidFill>
                <a:srgbClr val="FFD966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'Raw Data'!$B$3:$F$3</c:f>
              <c:strCache>
                <c:ptCount val="5"/>
                <c:pt idx="0">
                  <c:v>Fy 2020-21</c:v>
                </c:pt>
                <c:pt idx="1">
                  <c:v>Fy 2021-22</c:v>
                </c:pt>
                <c:pt idx="2">
                  <c:v>Fy 2022-23</c:v>
                </c:pt>
                <c:pt idx="3">
                  <c:v>Fy 2023-24</c:v>
                </c:pt>
                <c:pt idx="4">
                  <c:v>Fy 2024-25</c:v>
                </c:pt>
              </c:strCache>
            </c:strRef>
          </c:cat>
          <c:val>
            <c:numRef>
              <c:f>'Raw Data'!$B$6:$F$6</c:f>
              <c:numCache>
                <c:formatCode>#,##0</c:formatCode>
                <c:ptCount val="5"/>
                <c:pt idx="0">
                  <c:v>7954</c:v>
                </c:pt>
                <c:pt idx="1">
                  <c:v>8818</c:v>
                </c:pt>
                <c:pt idx="2">
                  <c:v>9962</c:v>
                </c:pt>
                <c:pt idx="3">
                  <c:v>10114</c:v>
                </c:pt>
                <c:pt idx="4">
                  <c:v>10644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AD-416E-94FA-7DCDE5B969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9166344"/>
        <c:axId val="1777420808"/>
      </c:lineChart>
      <c:catAx>
        <c:axId val="1729166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rgbClr val="757171"/>
          </a:solidFill>
          <a:ln w="9525" cap="flat" cmpd="sng" algn="ctr">
            <a:solidFill>
              <a:srgbClr val="AEAAAA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2F2F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420808"/>
        <c:crosses val="autoZero"/>
        <c:auto val="1"/>
        <c:lblAlgn val="ctr"/>
        <c:lblOffset val="100"/>
        <c:noMultiLvlLbl val="0"/>
      </c:catAx>
      <c:valAx>
        <c:axId val="1777420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404040"/>
              </a:solidFill>
              <a:prstDash val="solid"/>
              <a:round/>
            </a:ln>
            <a:effectLst/>
          </c:spPr>
        </c:majorGridlines>
        <c:numFmt formatCode="[$₹-446]\ #,##0" sourceLinked="0"/>
        <c:majorTickMark val="none"/>
        <c:minorTickMark val="none"/>
        <c:tickLblPos val="nextTo"/>
        <c:spPr>
          <a:solidFill>
            <a:srgbClr val="FFFFFF"/>
          </a:solidFill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166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EBITDA &amp; PAT YoY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EBITDA</c:v>
          </c:tx>
          <c:spPr>
            <a:ln w="28575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triangle"/>
            <c:size val="5"/>
            <c:spPr>
              <a:solidFill>
                <a:srgbClr val="375623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Ratios!C3:F3</c:f>
              <c:strCache>
                <c:ptCount val="4"/>
                <c:pt idx="0">
                  <c:v>FY2021-22</c:v>
                </c:pt>
                <c:pt idx="1">
                  <c:v>FY2022-23</c:v>
                </c:pt>
                <c:pt idx="2">
                  <c:v>FY2023-24</c:v>
                </c:pt>
                <c:pt idx="3">
                  <c:v>FY2024-25</c:v>
                </c:pt>
              </c:strCache>
            </c:strRef>
          </c:cat>
          <c:val>
            <c:numRef>
              <c:f>Ratios!$C$5:$F$5</c:f>
              <c:numCache>
                <c:formatCode>0.0%</c:formatCode>
                <c:ptCount val="4"/>
                <c:pt idx="0">
                  <c:v>0.10411515365595192</c:v>
                </c:pt>
                <c:pt idx="1">
                  <c:v>9.0298328401183792E-2</c:v>
                </c:pt>
                <c:pt idx="2">
                  <c:v>4.0933098591549255E-2</c:v>
                </c:pt>
                <c:pt idx="3">
                  <c:v>6.9767441860464352E-3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E7-4116-9E19-C9BBF9768D4F}"/>
            </c:ext>
          </c:extLst>
        </c:ser>
        <c:ser>
          <c:idx val="1"/>
          <c:order val="1"/>
          <c:tx>
            <c:v>PAT</c:v>
          </c:tx>
          <c:spPr>
            <a:ln w="28575" cap="rnd">
              <a:solidFill>
                <a:srgbClr val="C65911"/>
              </a:solidFill>
              <a:prstDash val="solid"/>
              <a:round/>
            </a:ln>
            <a:effectLst/>
          </c:spPr>
          <c:marker>
            <c:symbol val="star"/>
            <c:size val="5"/>
            <c:spPr>
              <a:solidFill>
                <a:srgbClr val="833C0C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Ratios!C3:F3</c:f>
              <c:strCache>
                <c:ptCount val="4"/>
                <c:pt idx="0">
                  <c:v>FY2021-22</c:v>
                </c:pt>
                <c:pt idx="1">
                  <c:v>FY2022-23</c:v>
                </c:pt>
                <c:pt idx="2">
                  <c:v>FY2023-24</c:v>
                </c:pt>
                <c:pt idx="3">
                  <c:v>FY2024-25</c:v>
                </c:pt>
              </c:strCache>
            </c:strRef>
          </c:cat>
          <c:val>
            <c:numRef>
              <c:f>Ratios!$C$6:$F$6</c:f>
              <c:numCache>
                <c:formatCode>0.0%</c:formatCode>
                <c:ptCount val="4"/>
                <c:pt idx="0">
                  <c:v>0.10862459140055325</c:v>
                </c:pt>
                <c:pt idx="1">
                  <c:v>0.12973463370378768</c:v>
                </c:pt>
                <c:pt idx="2">
                  <c:v>1.5257980325235954E-2</c:v>
                </c:pt>
                <c:pt idx="3">
                  <c:v>5.2402610243227121E-2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E7-4116-9E19-C9BBF9768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3626760"/>
        <c:axId val="1543653384"/>
      </c:lineChart>
      <c:catAx>
        <c:axId val="1543626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653384"/>
        <c:crosses val="autoZero"/>
        <c:auto val="1"/>
        <c:lblAlgn val="ctr"/>
        <c:lblOffset val="100"/>
        <c:noMultiLvlLbl val="0"/>
      </c:catAx>
      <c:valAx>
        <c:axId val="1543653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757171"/>
              </a:solidFill>
              <a:prstDash val="solid"/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626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Profitability Margin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Ratios!$A$8</c:f>
              <c:strCache>
                <c:ptCount val="1"/>
                <c:pt idx="0">
                  <c:v>EBITDA Margin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FFC000"/>
              </a:solidFill>
              <a:ln w="9525">
                <a:solidFill>
                  <a:srgbClr val="FFC000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Ratios!B3:F3</c:f>
              <c:strCache>
                <c:ptCount val="5"/>
                <c:pt idx="0">
                  <c:v>FY2020-21</c:v>
                </c:pt>
                <c:pt idx="1">
                  <c:v>FY2021-22</c:v>
                </c:pt>
                <c:pt idx="2">
                  <c:v>FY2022-23</c:v>
                </c:pt>
                <c:pt idx="3">
                  <c:v>FY2023-24</c:v>
                </c:pt>
                <c:pt idx="4">
                  <c:v>FY2024-25</c:v>
                </c:pt>
              </c:strCache>
            </c:strRef>
          </c:cat>
          <c:val>
            <c:numRef>
              <c:f>Ratios!$B$8:$F$8</c:f>
              <c:numCache>
                <c:formatCode>0.0%</c:formatCode>
                <c:ptCount val="5"/>
                <c:pt idx="0">
                  <c:v>0.24991723863962392</c:v>
                </c:pt>
                <c:pt idx="1">
                  <c:v>0.24839081373172281</c:v>
                </c:pt>
                <c:pt idx="2">
                  <c:v>0.23441207827492519</c:v>
                </c:pt>
                <c:pt idx="3">
                  <c:v>0.23817116769331476</c:v>
                </c:pt>
                <c:pt idx="4">
                  <c:v>0.2354812129202373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25-4211-84CA-B8A50D15E965}"/>
            </c:ext>
          </c:extLst>
        </c:ser>
        <c:ser>
          <c:idx val="1"/>
          <c:order val="1"/>
          <c:tx>
            <c:strRef>
              <c:f>Ratios!$A$9</c:f>
              <c:strCache>
                <c:ptCount val="1"/>
                <c:pt idx="0">
                  <c:v>PAT Margin</c:v>
                </c:pt>
              </c:strCache>
            </c:strRef>
          </c:tx>
          <c:spPr>
            <a:ln w="28575" cap="rnd">
              <a:solidFill>
                <a:srgbClr val="70AD47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Ratios!B3:F3</c:f>
              <c:strCache>
                <c:ptCount val="5"/>
                <c:pt idx="0">
                  <c:v>FY2020-21</c:v>
                </c:pt>
                <c:pt idx="1">
                  <c:v>FY2021-22</c:v>
                </c:pt>
                <c:pt idx="2">
                  <c:v>FY2022-23</c:v>
                </c:pt>
                <c:pt idx="3">
                  <c:v>FY2023-24</c:v>
                </c:pt>
                <c:pt idx="4">
                  <c:v>FY2024-25</c:v>
                </c:pt>
              </c:strCache>
            </c:strRef>
          </c:cat>
          <c:val>
            <c:numRef>
              <c:f>Ratios!$B$9:$F$9</c:f>
              <c:numCache>
                <c:formatCode>0.0%</c:formatCode>
                <c:ptCount val="5"/>
                <c:pt idx="0">
                  <c:v>0.17554236278166449</c:v>
                </c:pt>
                <c:pt idx="1">
                  <c:v>0.17518277177368086</c:v>
                </c:pt>
                <c:pt idx="2">
                  <c:v>0.17130377961963064</c:v>
                </c:pt>
                <c:pt idx="3">
                  <c:v>0.16975780056731399</c:v>
                </c:pt>
                <c:pt idx="4">
                  <c:v>0.17541199736321689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25-4211-84CA-B8A50D15E9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1053448"/>
        <c:axId val="1543622152"/>
      </c:lineChart>
      <c:catAx>
        <c:axId val="1541053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622152"/>
        <c:crosses val="autoZero"/>
        <c:auto val="1"/>
        <c:lblAlgn val="ctr"/>
        <c:lblOffset val="100"/>
        <c:noMultiLvlLbl val="0"/>
      </c:catAx>
      <c:valAx>
        <c:axId val="1543622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/>
              </a:solidFill>
              <a:prstDash val="solid"/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053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ROE &amp; ROCE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9328904"/>
        <c:axId val="1270910984"/>
      </c:barChart>
      <c:catAx>
        <c:axId val="1629328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910984"/>
        <c:crosses val="autoZero"/>
        <c:auto val="1"/>
        <c:lblAlgn val="ctr"/>
        <c:lblOffset val="100"/>
        <c:noMultiLvlLbl val="0"/>
      </c:catAx>
      <c:valAx>
        <c:axId val="1270910984"/>
        <c:scaling>
          <c:orientation val="minMax"/>
          <c:max val="1.2"/>
          <c:min val="0"/>
        </c:scaling>
        <c:delete val="0"/>
        <c:axPos val="l"/>
        <c:majorGridlines>
          <c:spPr>
            <a:ln w="9525" cap="flat" cmpd="sng" algn="ctr">
              <a:solidFill>
                <a:srgbClr val="595959"/>
              </a:solidFill>
              <a:prstDash val="solid"/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328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 Conversion Cycle Trend (Days)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CCC</c:v>
          </c:tx>
          <c:spPr>
            <a:solidFill>
              <a:srgbClr val="FFE699"/>
            </a:solidFill>
            <a:ln>
              <a:solidFill>
                <a:srgbClr val="70AD47"/>
              </a:solidFill>
              <a:prstDash val="solid"/>
            </a:ln>
            <a:effectLst/>
          </c:spPr>
          <c:cat>
            <c:strRef>
              <c:f>Ratios!B3:F3</c:f>
              <c:strCache>
                <c:ptCount val="5"/>
                <c:pt idx="0">
                  <c:v>FY2020-21</c:v>
                </c:pt>
                <c:pt idx="1">
                  <c:v>FY2021-22</c:v>
                </c:pt>
                <c:pt idx="2">
                  <c:v>FY2022-23</c:v>
                </c:pt>
                <c:pt idx="3">
                  <c:v>FY2023-24</c:v>
                </c:pt>
                <c:pt idx="4">
                  <c:v>FY2024-25</c:v>
                </c:pt>
              </c:strCache>
            </c:strRef>
          </c:cat>
          <c:val>
            <c:numRef>
              <c:f>Ratios!$B$25:$F$25</c:f>
              <c:numCache>
                <c:formatCode>0.0</c:formatCode>
                <c:ptCount val="5"/>
                <c:pt idx="0">
                  <c:v>-50.723086005605708</c:v>
                </c:pt>
                <c:pt idx="1">
                  <c:v>-49.675365688911981</c:v>
                </c:pt>
                <c:pt idx="2">
                  <c:v>-38.155671039258188</c:v>
                </c:pt>
                <c:pt idx="3">
                  <c:v>-44.241716197021191</c:v>
                </c:pt>
                <c:pt idx="4">
                  <c:v>-40.508558308863186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77-45AC-A9B4-8639D40C1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6570632"/>
        <c:axId val="1236572680"/>
      </c:areaChart>
      <c:catAx>
        <c:axId val="1236570632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high"/>
        <c:spPr>
          <a:solidFill>
            <a:srgbClr val="FFFFFF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72680"/>
        <c:crosses val="autoZero"/>
        <c:auto val="1"/>
        <c:lblAlgn val="ctr"/>
        <c:lblOffset val="100"/>
        <c:noMultiLvlLbl val="0"/>
      </c:catAx>
      <c:valAx>
        <c:axId val="123657268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70632"/>
        <c:crosses val="autoZero"/>
        <c:crossBetween val="midCat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 Scenario Camparison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Base Revenue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'Forecast &amp; Scenario'!$C$8:$E$8</c:f>
              <c:strCache>
                <c:ptCount val="3"/>
                <c:pt idx="0">
                  <c:v>FY2025-26</c:v>
                </c:pt>
                <c:pt idx="1">
                  <c:v>FY2026-27</c:v>
                </c:pt>
                <c:pt idx="2">
                  <c:v>FY2027-28</c:v>
                </c:pt>
              </c:strCache>
            </c:strRef>
          </c:cat>
          <c:val>
            <c:numRef>
              <c:f>'Forecast &amp; Scenario'!$C$10:$E$10</c:f>
              <c:numCache>
                <c:formatCode>#,##0</c:formatCode>
                <c:ptCount val="3"/>
                <c:pt idx="0">
                  <c:v>63714</c:v>
                </c:pt>
                <c:pt idx="1">
                  <c:v>66899.7</c:v>
                </c:pt>
                <c:pt idx="2" formatCode="0">
                  <c:v>70244.684999999998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53-4087-A6C9-31F2104E4B7A}"/>
            </c:ext>
          </c:extLst>
        </c:ser>
        <c:ser>
          <c:idx val="1"/>
          <c:order val="1"/>
          <c:tx>
            <c:v>Bear Revenue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'Forecast &amp; Scenario'!$C$8:$E$8</c:f>
              <c:strCache>
                <c:ptCount val="3"/>
                <c:pt idx="0">
                  <c:v>FY2025-26</c:v>
                </c:pt>
                <c:pt idx="1">
                  <c:v>FY2026-27</c:v>
                </c:pt>
                <c:pt idx="2">
                  <c:v>FY2027-28</c:v>
                </c:pt>
              </c:strCache>
            </c:strRef>
          </c:cat>
          <c:val>
            <c:numRef>
              <c:f>'Forecast &amp; Scenario'!$C$15:$E$15</c:f>
              <c:numCache>
                <c:formatCode>0</c:formatCode>
                <c:ptCount val="3"/>
                <c:pt idx="0">
                  <c:v>61893.599999999999</c:v>
                </c:pt>
                <c:pt idx="1">
                  <c:v>63131.472000000002</c:v>
                </c:pt>
                <c:pt idx="2">
                  <c:v>64394.101440000006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53-4087-A6C9-31F2104E4B7A}"/>
            </c:ext>
          </c:extLst>
        </c:ser>
        <c:ser>
          <c:idx val="2"/>
          <c:order val="2"/>
          <c:tx>
            <c:v>Bull Revenue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'Forecast &amp; Scenario'!$C$8:$E$8</c:f>
              <c:strCache>
                <c:ptCount val="3"/>
                <c:pt idx="0">
                  <c:v>FY2025-26</c:v>
                </c:pt>
                <c:pt idx="1">
                  <c:v>FY2026-27</c:v>
                </c:pt>
                <c:pt idx="2">
                  <c:v>FY2027-28</c:v>
                </c:pt>
              </c:strCache>
            </c:strRef>
          </c:cat>
          <c:val>
            <c:numRef>
              <c:f>'Forecast &amp; Scenario'!$C$20:$E$20</c:f>
              <c:numCache>
                <c:formatCode>0</c:formatCode>
                <c:ptCount val="3"/>
                <c:pt idx="0">
                  <c:v>65534.400000000001</c:v>
                </c:pt>
                <c:pt idx="1">
                  <c:v>70777.152000000002</c:v>
                </c:pt>
                <c:pt idx="2">
                  <c:v>76439.324160000004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53-4087-A6C9-31F2104E4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9658375"/>
        <c:axId val="2129660423"/>
      </c:barChart>
      <c:catAx>
        <c:axId val="2129658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660423"/>
        <c:crosses val="autoZero"/>
        <c:auto val="1"/>
        <c:lblAlgn val="ctr"/>
        <c:lblOffset val="100"/>
        <c:noMultiLvlLbl val="0"/>
      </c:catAx>
      <c:valAx>
        <c:axId val="2129660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658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Dupont ROE Driver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Net Profit Margin 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'DuPont Analysis'!$C$3:$F$3</c:f>
              <c:strCache>
                <c:ptCount val="4"/>
                <c:pt idx="0">
                  <c:v>FY2021-22</c:v>
                </c:pt>
                <c:pt idx="1">
                  <c:v>FY2022-23</c:v>
                </c:pt>
                <c:pt idx="2">
                  <c:v>FY2023-24</c:v>
                </c:pt>
                <c:pt idx="3">
                  <c:v>FY2024-25</c:v>
                </c:pt>
              </c:strCache>
            </c:strRef>
          </c:cat>
          <c:val>
            <c:numRef>
              <c:f>'DuPont Analysis'!$C$5:$F$5</c:f>
              <c:numCache>
                <c:formatCode>0.0%</c:formatCode>
                <c:ptCount val="4"/>
                <c:pt idx="0">
                  <c:v>0.17518277177368086</c:v>
                </c:pt>
                <c:pt idx="1">
                  <c:v>0.17130377961963064</c:v>
                </c:pt>
                <c:pt idx="2">
                  <c:v>0.16975780056731399</c:v>
                </c:pt>
                <c:pt idx="3">
                  <c:v>0.17541199736321689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5C-4109-8F7D-B1518864BF71}"/>
            </c:ext>
          </c:extLst>
        </c:ser>
        <c:ser>
          <c:idx val="2"/>
          <c:order val="1"/>
          <c:tx>
            <c:v>Asset Turnover 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'DuPont Analysis'!$C$3:$F$3</c:f>
              <c:strCache>
                <c:ptCount val="4"/>
                <c:pt idx="0">
                  <c:v>FY2021-22</c:v>
                </c:pt>
                <c:pt idx="1">
                  <c:v>FY2022-23</c:v>
                </c:pt>
                <c:pt idx="2">
                  <c:v>FY2023-24</c:v>
                </c:pt>
                <c:pt idx="3">
                  <c:v>FY2024-25</c:v>
                </c:pt>
              </c:strCache>
            </c:strRef>
          </c:cat>
          <c:val>
            <c:numRef>
              <c:f>'DuPont Analysis'!$C$6:$F$6</c:f>
              <c:numCache>
                <c:formatCode>0.00</c:formatCode>
                <c:ptCount val="4"/>
                <c:pt idx="0">
                  <c:v>0.73</c:v>
                </c:pt>
                <c:pt idx="1">
                  <c:v>0.82160466791935693</c:v>
                </c:pt>
                <c:pt idx="2">
                  <c:v>0.80024983042424158</c:v>
                </c:pt>
                <c:pt idx="3">
                  <c:v>0.78100766463520588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5C-4109-8F7D-B1518864BF71}"/>
            </c:ext>
          </c:extLst>
        </c:ser>
        <c:ser>
          <c:idx val="3"/>
          <c:order val="2"/>
          <c:tx>
            <c:v>Equity Multiplier 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'DuPont Analysis'!$C$3:$F$3</c:f>
              <c:strCache>
                <c:ptCount val="4"/>
                <c:pt idx="0">
                  <c:v>FY2021-22</c:v>
                </c:pt>
                <c:pt idx="1">
                  <c:v>FY2022-23</c:v>
                </c:pt>
                <c:pt idx="2">
                  <c:v>FY2023-24</c:v>
                </c:pt>
                <c:pt idx="3">
                  <c:v>FY2024-25</c:v>
                </c:pt>
              </c:strCache>
            </c:strRef>
          </c:cat>
          <c:val>
            <c:numRef>
              <c:f>'DuPont Analysis'!$C$7:$F$7</c:f>
              <c:numCache>
                <c:formatCode>0.00</c:formatCode>
                <c:ptCount val="4"/>
                <c:pt idx="0">
                  <c:v>1.4330727488200927</c:v>
                </c:pt>
                <c:pt idx="1">
                  <c:v>1.4301936735333043</c:v>
                </c:pt>
                <c:pt idx="2">
                  <c:v>1.471440994525367</c:v>
                </c:pt>
                <c:pt idx="3">
                  <c:v>1.5519345624513115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5C-4109-8F7D-B1518864BF71}"/>
            </c:ext>
          </c:extLst>
        </c:ser>
        <c:ser>
          <c:idx val="4"/>
          <c:order val="3"/>
          <c:tx>
            <c:v>DuPont ROE 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'DuPont Analysis'!$C$3:$F$3</c:f>
              <c:strCache>
                <c:ptCount val="4"/>
                <c:pt idx="0">
                  <c:v>FY2021-22</c:v>
                </c:pt>
                <c:pt idx="1">
                  <c:v>FY2022-23</c:v>
                </c:pt>
                <c:pt idx="2">
                  <c:v>FY2023-24</c:v>
                </c:pt>
                <c:pt idx="3">
                  <c:v>FY2024-25</c:v>
                </c:pt>
              </c:strCache>
            </c:strRef>
          </c:cat>
          <c:val>
            <c:numRef>
              <c:f>'DuPont Analysis'!$C$8:$F$8</c:f>
              <c:numCache>
                <c:formatCode>0.0%</c:formatCode>
                <c:ptCount val="4"/>
                <c:pt idx="0">
                  <c:v>0.18326624909289121</c:v>
                </c:pt>
                <c:pt idx="1">
                  <c:v>0.20129115688869581</c:v>
                </c:pt>
                <c:pt idx="2">
                  <c:v>0.19989327430480067</c:v>
                </c:pt>
                <c:pt idx="3">
                  <c:v>0.21261210874298386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5C-4109-8F7D-B1518864B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460424"/>
        <c:axId val="30466568"/>
      </c:barChart>
      <c:catAx>
        <c:axId val="30460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66568"/>
        <c:crosses val="autoZero"/>
        <c:auto val="1"/>
        <c:lblAlgn val="ctr"/>
        <c:lblOffset val="100"/>
        <c:noMultiLvlLbl val="0"/>
      </c:catAx>
      <c:valAx>
        <c:axId val="30466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60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Implied Equity Value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C65911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('Valuation Analysis'!$A$13,'Valuation Analysis'!$A$15)</c:f>
              <c:strCache>
                <c:ptCount val="2"/>
                <c:pt idx="0">
                  <c:v>P/E Implied Equity Value</c:v>
                </c:pt>
                <c:pt idx="1">
                  <c:v>EV/EBITDA Implied Equity Value</c:v>
                </c:pt>
              </c:strCache>
            </c:strRef>
          </c:cat>
          <c:val>
            <c:numRef>
              <c:f>('Valuation Analysis'!$B$13,'Valuation Analysis'!$B$15)</c:f>
              <c:numCache>
                <c:formatCode>_-* #,##0_-;\-* #,##0_-;_-* "-"??_-;_-@_-</c:formatCode>
                <c:ptCount val="2"/>
                <c:pt idx="0">
                  <c:v>532200</c:v>
                </c:pt>
                <c:pt idx="1">
                  <c:v>433080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7F-4835-96E4-4E7A86D367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0976007"/>
        <c:axId val="150978055"/>
      </c:barChart>
      <c:catAx>
        <c:axId val="150976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78055"/>
        <c:crosses val="autoZero"/>
        <c:auto val="1"/>
        <c:lblAlgn val="ctr"/>
        <c:lblOffset val="100"/>
        <c:noMultiLvlLbl val="0"/>
      </c:catAx>
      <c:valAx>
        <c:axId val="150978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₹ Crore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solidFill>
            <a:srgbClr val="FFFFFF"/>
          </a:solidFill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76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hyperlink" Target="https://www.indigne-du-canape.com/comme-avec-nestle-il-faut-acter-le-boycott-dunilever/" TargetMode="External"/><Relationship Id="rId2" Type="http://schemas.openxmlformats.org/officeDocument/2006/relationships/hyperlink" Target="https://arquitecturapublithink.blogspot.com/2012/" TargetMode="External"/><Relationship Id="rId1" Type="http://schemas.openxmlformats.org/officeDocument/2006/relationships/image" Target="../media/image1.xlsrvcdf"/><Relationship Id="rId6" Type="http://schemas.openxmlformats.org/officeDocument/2006/relationships/image" Target="../media/image4.xlsrvcdf"/><Relationship Id="rId5" Type="http://schemas.openxmlformats.org/officeDocument/2006/relationships/image" Target="../media/image3.png"/><Relationship Id="rId4" Type="http://schemas.openxmlformats.org/officeDocument/2006/relationships/hyperlink" Target="https://creativecommons.org/licenses/by-nc-sa/3.0/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.xml"/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Relationship Id="rId9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0</xdr:rowOff>
    </xdr:from>
    <xdr:to>
      <xdr:col>0</xdr:col>
      <xdr:colOff>0</xdr:colOff>
      <xdr:row>20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D9261D-1201-CBC2-9088-1CD002B6A74C}"/>
            </a:ext>
            <a:ext uri="{147F2762-F138-4A5C-976F-8EAC2B608ADB}">
              <a16:predDERef xmlns:a16="http://schemas.microsoft.com/office/drawing/2014/main" pred="{B2723EB8-E559-76D3-1EFD-6ADE3AC7F9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0" y="0"/>
          <a:ext cx="0" cy="1285875"/>
        </a:xfrm>
        <a:prstGeom prst="rect">
          <a:avLst/>
        </a:prstGeom>
      </xdr:spPr>
    </xdr:pic>
    <xdr:clientData/>
  </xdr:twoCellAnchor>
  <xdr:twoCellAnchor editAs="oneCell">
    <xdr:from>
      <xdr:col>0</xdr:col>
      <xdr:colOff>-6486525</xdr:colOff>
      <xdr:row>0</xdr:row>
      <xdr:rowOff>-390525</xdr:rowOff>
    </xdr:from>
    <xdr:to>
      <xdr:col>0</xdr:col>
      <xdr:colOff>-6486525</xdr:colOff>
      <xdr:row>0</xdr:row>
      <xdr:rowOff>-390525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F2F7A2-A2B3-A72D-8E39-91EB268D7278}"/>
            </a:ext>
            <a:ext uri="{147F2762-F138-4A5C-976F-8EAC2B608ADB}">
              <a16:predDERef xmlns:a16="http://schemas.microsoft.com/office/drawing/2014/main" pred="{A5D9261D-1201-CBC2-9088-1CD002B6A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-6486525" y="-390525"/>
          <a:ext cx="0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24</xdr:row>
      <xdr:rowOff>152400</xdr:rowOff>
    </xdr:from>
    <xdr:to>
      <xdr:col>1</xdr:col>
      <xdr:colOff>609600</xdr:colOff>
      <xdr:row>26</xdr:row>
      <xdr:rowOff>97852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1C27B7D-AEEA-0CF4-9482-DE4296AFD93A}"/>
            </a:ext>
            <a:ext uri="{147F2762-F138-4A5C-976F-8EAC2B608ADB}">
              <a16:predDERef xmlns:a16="http://schemas.microsoft.com/office/drawing/2014/main" pred="{F56A0BCE-40B4-A014-7962-84E7B2238249}"/>
            </a:ext>
          </a:extLst>
        </xdr:cNvPr>
        <xdr:cNvSpPr txBox="1"/>
      </xdr:nvSpPr>
      <xdr:spPr>
        <a:xfrm>
          <a:off x="0" y="3238500"/>
          <a:ext cx="2857500" cy="374077"/>
        </a:xfrm>
        <a:prstGeom prst="rect">
          <a:avLst/>
        </a:prstGeom>
        <a:noFill/>
        <a:ln>
          <a:noFill/>
        </a:ln>
      </xdr:spPr>
      <xdr:txBody>
        <a:bodyPr vertOverflow="clip" horzOverflow="clip" rtlCol="0" anchor="t">
          <a:spAutoFit/>
        </a:bodyPr>
        <a:lstStyle/>
        <a:p>
          <a:pPr algn="l"/>
          <a:r>
            <a:rPr lang="en-US" sz="900">
              <a:hlinkClick xmlns:r="http://schemas.openxmlformats.org/officeDocument/2006/relationships" r:id="rId2" tooltip="https://arquitecturapublithink.blogspot.com/2012/"/>
            </a:rPr>
            <a:t>This Photo</a:t>
          </a:r>
          <a:r>
            <a:rPr lang="en-US" sz="900"/>
            <a:t> by Unknown Author is licensed under </a:t>
          </a:r>
          <a:r>
            <a:rPr lang="en-US" sz="900">
              <a:hlinkClick xmlns:r="http://schemas.openxmlformats.org/officeDocument/2006/relationships" r:id="rId4" tooltip="https://creativecommons.org/licenses/by-nc-sa/3.0/"/>
            </a:rPr>
            <a:t>CC BY-SA-NC</a:t>
          </a:r>
          <a:endParaRPr lang="en-US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2324100</xdr:colOff>
      <xdr:row>13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29C4772-6518-5B1B-5625-0349D8959AF4}"/>
            </a:ext>
            <a:ext uri="{147F2762-F138-4A5C-976F-8EAC2B608ADB}">
              <a16:predDERef xmlns:a16="http://schemas.microsoft.com/office/drawing/2014/main" pred="{A1C27B7D-AEEA-0CF4-9482-DE4296AFD9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4572000" cy="2638425"/>
        </a:xfrm>
        <a:prstGeom prst="rect">
          <a:avLst/>
        </a:prstGeom>
      </xdr:spPr>
    </xdr:pic>
    <xdr:clientData/>
  </xdr:twoCellAnchor>
  <xdr:twoCellAnchor editAs="oneCell">
    <xdr:from>
      <xdr:col>1</xdr:col>
      <xdr:colOff>2438400</xdr:colOff>
      <xdr:row>0</xdr:row>
      <xdr:rowOff>0</xdr:rowOff>
    </xdr:from>
    <xdr:to>
      <xdr:col>5</xdr:col>
      <xdr:colOff>1152525</xdr:colOff>
      <xdr:row>13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C6FA23-4853-3410-BE18-62265396C2A8}"/>
            </a:ext>
            <a:ext uri="{147F2762-F138-4A5C-976F-8EAC2B608ADB}">
              <a16:predDERef xmlns:a16="http://schemas.microsoft.com/office/drawing/2014/main" pred="{E29C4772-6518-5B1B-5625-0349D8959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837473B0-CC2E-450A-ABE3-18F120FF3D39}">
              <a1611:picAttrSrcUrl xmlns:a1611="http://schemas.microsoft.com/office/drawing/2016/11/main" r:id="rId7"/>
            </a:ext>
          </a:extLst>
        </a:blip>
        <a:stretch>
          <a:fillRect/>
        </a:stretch>
      </xdr:blipFill>
      <xdr:spPr>
        <a:xfrm>
          <a:off x="4686300" y="0"/>
          <a:ext cx="3590925" cy="2619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</xdr:colOff>
      <xdr:row>0</xdr:row>
      <xdr:rowOff>0</xdr:rowOff>
    </xdr:from>
    <xdr:to>
      <xdr:col>13</xdr:col>
      <xdr:colOff>333375</xdr:colOff>
      <xdr:row>17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E6BEDE-D142-93CB-D07F-F4150B6310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18</xdr:row>
      <xdr:rowOff>19050</xdr:rowOff>
    </xdr:from>
    <xdr:to>
      <xdr:col>5</xdr:col>
      <xdr:colOff>628650</xdr:colOff>
      <xdr:row>32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47BAD36-3C90-8913-7B88-B46AA02CB7E9}"/>
            </a:ext>
            <a:ext uri="{147F2762-F138-4A5C-976F-8EAC2B608ADB}">
              <a16:predDERef xmlns:a16="http://schemas.microsoft.com/office/drawing/2014/main" pred="{6DE6BEDE-D142-93CB-D07F-F4150B6310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0</xdr:row>
      <xdr:rowOff>9525</xdr:rowOff>
    </xdr:from>
    <xdr:to>
      <xdr:col>13</xdr:col>
      <xdr:colOff>342900</xdr:colOff>
      <xdr:row>14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84BEF8-3ACE-AC9F-0330-5BAE5CC576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685800</xdr:colOff>
      <xdr:row>0</xdr:row>
      <xdr:rowOff>0</xdr:rowOff>
    </xdr:from>
    <xdr:to>
      <xdr:col>14</xdr:col>
      <xdr:colOff>28575</xdr:colOff>
      <xdr:row>16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86AC33-36FF-9EFC-532C-15E3C588DC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9525</xdr:rowOff>
    </xdr:from>
    <xdr:to>
      <xdr:col>10</xdr:col>
      <xdr:colOff>352425</xdr:colOff>
      <xdr:row>14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2F1EC7-A26D-E548-A085-87BA211AE1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6</xdr:row>
      <xdr:rowOff>38100</xdr:rowOff>
    </xdr:from>
    <xdr:to>
      <xdr:col>5</xdr:col>
      <xdr:colOff>571500</xdr:colOff>
      <xdr:row>19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09E77E-752F-406E-BAFB-79D9E50672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571500</xdr:colOff>
      <xdr:row>6</xdr:row>
      <xdr:rowOff>19050</xdr:rowOff>
    </xdr:from>
    <xdr:to>
      <xdr:col>11</xdr:col>
      <xdr:colOff>581025</xdr:colOff>
      <xdr:row>19</xdr:row>
      <xdr:rowOff>142875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9DFBBBE-633D-4F5F-B080-D6108B26EE91}"/>
            </a:ext>
            <a:ext uri="{147F2762-F138-4A5C-976F-8EAC2B608ADB}">
              <a16:predDERef xmlns:a16="http://schemas.microsoft.com/office/drawing/2014/main" pred="{6609E77E-752F-406E-BAFB-79D9E50672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</xdr:colOff>
      <xdr:row>39</xdr:row>
      <xdr:rowOff>19050</xdr:rowOff>
    </xdr:from>
    <xdr:to>
      <xdr:col>6</xdr:col>
      <xdr:colOff>228600</xdr:colOff>
      <xdr:row>58</xdr:row>
      <xdr:rowOff>38100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FEBAEB6-14CB-487B-9745-32E0932EE463}"/>
            </a:ext>
            <a:ext uri="{147F2762-F138-4A5C-976F-8EAC2B608ADB}">
              <a16:predDERef xmlns:a16="http://schemas.microsoft.com/office/drawing/2014/main" pred="{F9DFBBBE-633D-4F5F-B080-D6108B26EE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57150</xdr:colOff>
      <xdr:row>19</xdr:row>
      <xdr:rowOff>161925</xdr:rowOff>
    </xdr:from>
    <xdr:to>
      <xdr:col>5</xdr:col>
      <xdr:colOff>571500</xdr:colOff>
      <xdr:row>32</xdr:row>
      <xdr:rowOff>133350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C6FCBB2E-ECED-49D4-A1AC-7C9AC7856314}"/>
            </a:ext>
            <a:ext uri="{147F2762-F138-4A5C-976F-8EAC2B608ADB}">
              <a16:predDERef xmlns:a16="http://schemas.microsoft.com/office/drawing/2014/main" pred="{EFEBAEB6-14CB-487B-9745-32E0932EE4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257175</xdr:colOff>
      <xdr:row>39</xdr:row>
      <xdr:rowOff>57150</xdr:rowOff>
    </xdr:from>
    <xdr:to>
      <xdr:col>12</xdr:col>
      <xdr:colOff>276225</xdr:colOff>
      <xdr:row>57</xdr:row>
      <xdr:rowOff>85725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657A3D53-2463-410E-A526-AC4CACAF910B}"/>
            </a:ext>
            <a:ext uri="{147F2762-F138-4A5C-976F-8EAC2B608ADB}">
              <a16:predDERef xmlns:a16="http://schemas.microsoft.com/office/drawing/2014/main" pred="{C6FCBB2E-ECED-49D4-A1AC-7C9AC78563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63</xdr:row>
      <xdr:rowOff>38100</xdr:rowOff>
    </xdr:from>
    <xdr:to>
      <xdr:col>5</xdr:col>
      <xdr:colOff>590550</xdr:colOff>
      <xdr:row>75</xdr:row>
      <xdr:rowOff>104775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CDB496DA-7E39-4318-AA52-4AF3FD1C487F}"/>
            </a:ext>
            <a:ext uri="{147F2762-F138-4A5C-976F-8EAC2B608ADB}">
              <a16:predDERef xmlns:a16="http://schemas.microsoft.com/office/drawing/2014/main" pred="{657A3D53-2463-410E-A526-AC4CACAF91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590550</xdr:colOff>
      <xdr:row>63</xdr:row>
      <xdr:rowOff>28575</xdr:rowOff>
    </xdr:from>
    <xdr:to>
      <xdr:col>11</xdr:col>
      <xdr:colOff>561975</xdr:colOff>
      <xdr:row>75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AEFF009-6484-4EFD-8B46-6229FB44EE48}"/>
            </a:ext>
            <a:ext uri="{147F2762-F138-4A5C-976F-8EAC2B608ADB}">
              <a16:predDERef xmlns:a16="http://schemas.microsoft.com/office/drawing/2014/main" pred="{CDB496DA-7E39-4318-AA52-4AF3FD1C48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75</xdr:row>
      <xdr:rowOff>114300</xdr:rowOff>
    </xdr:from>
    <xdr:to>
      <xdr:col>5</xdr:col>
      <xdr:colOff>600075</xdr:colOff>
      <xdr:row>87</xdr:row>
      <xdr:rowOff>123825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0B0C482-6C71-4C0E-B265-2E5F619408B8}"/>
            </a:ext>
            <a:ext uri="{147F2762-F138-4A5C-976F-8EAC2B608ADB}">
              <a16:predDERef xmlns:a16="http://schemas.microsoft.com/office/drawing/2014/main" pred="{1AEFF009-6484-4EFD-8B46-6229FB44EE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47625</xdr:colOff>
      <xdr:row>19</xdr:row>
      <xdr:rowOff>180975</xdr:rowOff>
    </xdr:from>
    <xdr:to>
      <xdr:col>5</xdr:col>
      <xdr:colOff>542925</xdr:colOff>
      <xdr:row>32</xdr:row>
      <xdr:rowOff>161925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AADCA92-4258-4800-8F36-FE60038820A0}"/>
            </a:ext>
            <a:ext uri="{147F2762-F138-4A5C-976F-8EAC2B608ADB}">
              <a16:predDERef xmlns:a16="http://schemas.microsoft.com/office/drawing/2014/main" pred="{50B0C482-6C71-4C0E-B265-2E5F61940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7625" y="4124325"/>
          <a:ext cx="3848100" cy="24574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2919BE-BA4C-4256-B725-84FAC897ADB4}" name="Table2" displayName="Table2" ref="A3:D12" totalsRowShown="0" headerRowDxfId="0">
  <autoFilter ref="A3:D12" xr:uid="{712919BE-BA4C-4256-B725-84FAC897ADB4}"/>
  <tableColumns count="4">
    <tableColumn id="1" xr3:uid="{C2527510-63EC-42B4-A95A-0140AD040B0E}" name="Theme"/>
    <tableColumn id="2" xr3:uid="{7109C342-5A8C-40C3-8E67-55D57C6D2E0F}" name="Observation"/>
    <tableColumn id="3" xr3:uid="{818C13AF-1D52-49DD-9AAB-E907A8209D0D}" name="Evidence"/>
    <tableColumn id="4" xr3:uid="{24D5BCFD-C9D9-46A9-9D78-C873473379FE}" name="Business Interpretation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1AC13-940C-48B4-8D27-3C93647AE231}">
  <dimension ref="A15:H45"/>
  <sheetViews>
    <sheetView workbookViewId="0">
      <selection activeCell="I19" sqref="I19"/>
    </sheetView>
  </sheetViews>
  <sheetFormatPr defaultRowHeight="15"/>
  <cols>
    <col min="1" max="1" width="33.7109375" customWidth="1"/>
    <col min="2" max="2" width="37.28515625" customWidth="1"/>
    <col min="4" max="4" width="17.5703125" customWidth="1"/>
    <col min="6" max="6" width="18.140625" customWidth="1"/>
  </cols>
  <sheetData>
    <row r="15" spans="1:6">
      <c r="A15" s="171" t="s">
        <v>0</v>
      </c>
      <c r="B15" s="172"/>
      <c r="C15" s="172"/>
      <c r="D15" s="172"/>
      <c r="E15" s="172"/>
      <c r="F15" s="173"/>
    </row>
    <row r="16" spans="1:6">
      <c r="A16" s="174"/>
      <c r="B16" s="175"/>
      <c r="C16" s="175"/>
      <c r="D16" s="175"/>
      <c r="E16" s="175"/>
      <c r="F16" s="176"/>
    </row>
    <row r="17" spans="1:8">
      <c r="A17" t="s">
        <v>1</v>
      </c>
      <c r="B17" s="170" t="s">
        <v>2</v>
      </c>
      <c r="C17" s="170"/>
      <c r="D17" s="170"/>
      <c r="E17" s="170"/>
      <c r="F17" s="170"/>
    </row>
    <row r="18" spans="1:8">
      <c r="A18" t="s">
        <v>3</v>
      </c>
      <c r="B18" s="170" t="s">
        <v>4</v>
      </c>
      <c r="C18" s="170"/>
      <c r="D18" s="170"/>
      <c r="E18" s="170"/>
      <c r="F18" s="170"/>
    </row>
    <row r="19" spans="1:8">
      <c r="A19" t="s">
        <v>5</v>
      </c>
      <c r="B19" s="170" t="s">
        <v>6</v>
      </c>
      <c r="C19" s="170"/>
      <c r="D19" s="170"/>
      <c r="E19" s="170"/>
      <c r="F19" s="170"/>
    </row>
    <row r="20" spans="1:8">
      <c r="A20" t="s">
        <v>7</v>
      </c>
      <c r="B20" s="170" t="s">
        <v>8</v>
      </c>
      <c r="C20" s="170"/>
      <c r="D20" s="170"/>
      <c r="E20" s="170"/>
      <c r="F20" s="170"/>
    </row>
    <row r="21" spans="1:8">
      <c r="A21" t="s">
        <v>9</v>
      </c>
      <c r="B21" s="170" t="s">
        <v>10</v>
      </c>
      <c r="C21" s="170"/>
      <c r="D21" s="170"/>
      <c r="E21" s="170"/>
      <c r="F21" s="170"/>
    </row>
    <row r="22" spans="1:8" ht="16.5" customHeight="1">
      <c r="A22" s="19" t="s">
        <v>11</v>
      </c>
      <c r="B22" s="170" t="s">
        <v>12</v>
      </c>
      <c r="C22" s="170"/>
      <c r="D22" s="170"/>
      <c r="E22" s="170"/>
      <c r="F22" s="170"/>
    </row>
    <row r="23" spans="1:8" ht="16.5" customHeight="1">
      <c r="A23" s="19" t="s">
        <v>13</v>
      </c>
      <c r="B23" s="170" t="s">
        <v>14</v>
      </c>
      <c r="C23" s="170"/>
      <c r="D23" s="170"/>
      <c r="E23" s="170"/>
      <c r="F23" s="170"/>
    </row>
    <row r="25" spans="1:8" ht="16.5" customHeight="1">
      <c r="A25" s="168" t="s">
        <v>15</v>
      </c>
      <c r="B25" s="169"/>
      <c r="C25" s="169"/>
      <c r="D25" s="161" t="s">
        <v>16</v>
      </c>
      <c r="E25" s="162"/>
      <c r="F25" s="162"/>
      <c r="G25" s="162"/>
      <c r="H25" s="163"/>
    </row>
    <row r="26" spans="1:8" ht="17.25" customHeight="1">
      <c r="A26" s="170" t="s">
        <v>17</v>
      </c>
      <c r="B26" s="170"/>
      <c r="C26" s="170"/>
      <c r="E26" t="s">
        <v>18</v>
      </c>
      <c r="F26" s="54"/>
      <c r="G26" s="54"/>
      <c r="H26" s="54"/>
    </row>
    <row r="27" spans="1:8" ht="13.5" customHeight="1">
      <c r="A27" s="170" t="s">
        <v>19</v>
      </c>
      <c r="B27" s="170"/>
      <c r="C27" s="170"/>
      <c r="E27" t="s">
        <v>20</v>
      </c>
      <c r="F27" s="54"/>
      <c r="G27" s="54"/>
      <c r="H27" s="54"/>
    </row>
    <row r="28" spans="1:8">
      <c r="A28" s="170" t="s">
        <v>21</v>
      </c>
      <c r="B28" s="170"/>
      <c r="C28" s="170"/>
      <c r="E28" t="s">
        <v>22</v>
      </c>
      <c r="F28" s="54"/>
      <c r="G28" s="54"/>
      <c r="H28" s="54"/>
    </row>
    <row r="29" spans="1:8" ht="13.5" customHeight="1">
      <c r="A29" s="160" t="s">
        <v>23</v>
      </c>
      <c r="B29" s="160"/>
      <c r="C29" s="160"/>
      <c r="E29" t="s">
        <v>24</v>
      </c>
      <c r="F29" s="54"/>
      <c r="G29" s="54"/>
      <c r="H29" s="54"/>
    </row>
    <row r="30" spans="1:8" ht="13.5" customHeight="1">
      <c r="A30" s="160" t="s">
        <v>25</v>
      </c>
      <c r="B30" s="160"/>
      <c r="C30" s="160"/>
      <c r="E30" t="s">
        <v>26</v>
      </c>
      <c r="F30" s="54"/>
      <c r="G30" s="54"/>
      <c r="H30" s="54"/>
    </row>
    <row r="31" spans="1:8" ht="17.25" customHeight="1">
      <c r="A31" s="160" t="s">
        <v>27</v>
      </c>
      <c r="B31" s="160"/>
      <c r="C31" s="160"/>
      <c r="E31" t="s">
        <v>28</v>
      </c>
      <c r="F31" s="54"/>
      <c r="G31" s="54"/>
      <c r="H31" s="54"/>
    </row>
    <row r="32" spans="1:8" ht="14.25" customHeight="1">
      <c r="A32" s="160" t="s">
        <v>29</v>
      </c>
      <c r="B32" s="160"/>
      <c r="C32" s="160"/>
      <c r="E32" t="s">
        <v>30</v>
      </c>
      <c r="F32" s="54"/>
      <c r="G32" s="54"/>
      <c r="H32" s="54"/>
    </row>
    <row r="33" spans="1:8">
      <c r="E33" t="s">
        <v>31</v>
      </c>
      <c r="F33" s="54"/>
      <c r="G33" s="54"/>
      <c r="H33" s="54"/>
    </row>
    <row r="34" spans="1:8" ht="15.75">
      <c r="A34" s="164" t="s">
        <v>32</v>
      </c>
      <c r="B34" s="165"/>
      <c r="C34" s="166"/>
      <c r="E34" t="s">
        <v>33</v>
      </c>
      <c r="F34" s="54"/>
      <c r="G34" s="54"/>
      <c r="H34" s="54"/>
    </row>
    <row r="35" spans="1:8" ht="14.25" customHeight="1">
      <c r="A35" s="167" t="s">
        <v>34</v>
      </c>
      <c r="B35" s="167"/>
      <c r="C35" s="167"/>
      <c r="E35" t="s">
        <v>35</v>
      </c>
      <c r="F35" s="54"/>
      <c r="G35" s="54"/>
      <c r="H35" s="54"/>
    </row>
    <row r="36" spans="1:8">
      <c r="A36" s="167"/>
      <c r="B36" s="167"/>
      <c r="C36" s="167"/>
      <c r="D36" s="54"/>
      <c r="E36" s="54"/>
      <c r="F36" s="54"/>
      <c r="G36" s="54"/>
      <c r="H36" s="54"/>
    </row>
    <row r="37" spans="1:8">
      <c r="A37" s="167"/>
      <c r="B37" s="167"/>
      <c r="C37" s="167"/>
    </row>
    <row r="38" spans="1:8">
      <c r="A38" s="18"/>
      <c r="B38" s="18"/>
      <c r="C38" s="18"/>
    </row>
    <row r="40" spans="1:8" ht="15.75">
      <c r="A40" s="178" t="s">
        <v>36</v>
      </c>
      <c r="B40" s="179"/>
      <c r="C40" s="179"/>
      <c r="D40" s="180" t="s">
        <v>37</v>
      </c>
      <c r="E40" s="181"/>
      <c r="F40" s="182"/>
    </row>
    <row r="41" spans="1:8">
      <c r="A41" t="s">
        <v>38</v>
      </c>
      <c r="D41" s="177" t="s">
        <v>39</v>
      </c>
      <c r="E41" s="177"/>
    </row>
    <row r="42" spans="1:8">
      <c r="A42" t="s">
        <v>40</v>
      </c>
      <c r="D42" s="177" t="s">
        <v>41</v>
      </c>
      <c r="E42" s="177"/>
    </row>
    <row r="43" spans="1:8">
      <c r="A43" t="s">
        <v>42</v>
      </c>
      <c r="D43" s="177" t="s">
        <v>43</v>
      </c>
      <c r="E43" s="177"/>
    </row>
    <row r="44" spans="1:8">
      <c r="A44" t="s">
        <v>44</v>
      </c>
      <c r="D44" s="177" t="s">
        <v>45</v>
      </c>
      <c r="E44" s="177"/>
    </row>
    <row r="45" spans="1:8">
      <c r="A45" t="s">
        <v>46</v>
      </c>
      <c r="D45" s="177" t="s">
        <v>47</v>
      </c>
      <c r="E45" s="177"/>
    </row>
  </sheetData>
  <mergeCells count="26">
    <mergeCell ref="D44:E44"/>
    <mergeCell ref="D45:E45"/>
    <mergeCell ref="A40:C40"/>
    <mergeCell ref="D40:F40"/>
    <mergeCell ref="D41:E41"/>
    <mergeCell ref="D42:E42"/>
    <mergeCell ref="D43:E43"/>
    <mergeCell ref="B22:F22"/>
    <mergeCell ref="B23:F23"/>
    <mergeCell ref="A15:F16"/>
    <mergeCell ref="B17:F17"/>
    <mergeCell ref="B18:F18"/>
    <mergeCell ref="B19:F19"/>
    <mergeCell ref="B20:F20"/>
    <mergeCell ref="B21:F21"/>
    <mergeCell ref="A31:C31"/>
    <mergeCell ref="A32:C32"/>
    <mergeCell ref="D25:H25"/>
    <mergeCell ref="A34:C34"/>
    <mergeCell ref="A35:C37"/>
    <mergeCell ref="A25:C25"/>
    <mergeCell ref="A26:C26"/>
    <mergeCell ref="A27:C27"/>
    <mergeCell ref="A28:C28"/>
    <mergeCell ref="A29:C29"/>
    <mergeCell ref="A30:C3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workbookViewId="0">
      <selection activeCell="D23" sqref="D23"/>
    </sheetView>
  </sheetViews>
  <sheetFormatPr defaultRowHeight="15"/>
  <cols>
    <col min="1" max="1" width="24.42578125" customWidth="1"/>
    <col min="2" max="2" width="10.28515625" customWidth="1"/>
    <col min="3" max="3" width="12" customWidth="1"/>
    <col min="4" max="4" width="11.140625" customWidth="1"/>
    <col min="5" max="5" width="11.7109375" customWidth="1"/>
    <col min="6" max="6" width="10.85546875" customWidth="1"/>
    <col min="7" max="7" width="30.140625" customWidth="1"/>
    <col min="13" max="13" width="22.28515625" customWidth="1"/>
  </cols>
  <sheetData>
    <row r="1" spans="1:13">
      <c r="A1" s="183" t="s">
        <v>48</v>
      </c>
      <c r="B1" s="183"/>
      <c r="C1" s="183"/>
      <c r="D1" s="183"/>
      <c r="E1" s="183"/>
      <c r="F1" s="183"/>
      <c r="G1" s="183"/>
      <c r="H1" s="183"/>
      <c r="I1" s="183"/>
    </row>
    <row r="2" spans="1:13">
      <c r="A2" s="183"/>
      <c r="B2" s="183"/>
      <c r="C2" s="183"/>
      <c r="D2" s="183"/>
      <c r="E2" s="183"/>
      <c r="F2" s="183"/>
      <c r="G2" s="183"/>
      <c r="H2" s="183"/>
      <c r="I2" s="183"/>
    </row>
    <row r="3" spans="1:13" ht="15.75">
      <c r="A3" s="6" t="s">
        <v>49</v>
      </c>
      <c r="B3" s="3" t="s">
        <v>50</v>
      </c>
      <c r="C3" s="3" t="s">
        <v>51</v>
      </c>
      <c r="D3" s="3" t="s">
        <v>52</v>
      </c>
      <c r="E3" s="3" t="s">
        <v>53</v>
      </c>
      <c r="F3" s="3" t="s">
        <v>54</v>
      </c>
      <c r="G3" s="10" t="s">
        <v>55</v>
      </c>
    </row>
    <row r="4" spans="1:13" ht="15.75">
      <c r="A4" s="6" t="s">
        <v>56</v>
      </c>
      <c r="B4" s="1">
        <v>45311</v>
      </c>
      <c r="C4" s="1">
        <v>50336</v>
      </c>
      <c r="D4" s="1">
        <v>58154</v>
      </c>
      <c r="E4" s="1">
        <v>59579</v>
      </c>
      <c r="F4" s="1">
        <v>60680</v>
      </c>
      <c r="G4" s="54" t="s">
        <v>57</v>
      </c>
      <c r="I4" s="1"/>
      <c r="J4" s="1"/>
    </row>
    <row r="5" spans="1:13" ht="15.75">
      <c r="A5" s="6" t="s">
        <v>58</v>
      </c>
      <c r="B5" s="1">
        <v>11324</v>
      </c>
      <c r="C5" s="1">
        <v>12503</v>
      </c>
      <c r="D5" s="1">
        <v>13632</v>
      </c>
      <c r="E5" s="1">
        <v>14190</v>
      </c>
      <c r="F5" s="1">
        <v>14289</v>
      </c>
      <c r="G5" s="54" t="s">
        <v>57</v>
      </c>
    </row>
    <row r="6" spans="1:13" ht="15.75">
      <c r="A6" s="6" t="s">
        <v>59</v>
      </c>
      <c r="B6" s="1">
        <v>7954</v>
      </c>
      <c r="C6" s="1">
        <v>8818</v>
      </c>
      <c r="D6" s="1">
        <v>9962</v>
      </c>
      <c r="E6" s="1">
        <v>10114</v>
      </c>
      <c r="F6" s="1">
        <v>10644</v>
      </c>
      <c r="G6" s="54" t="s">
        <v>57</v>
      </c>
    </row>
    <row r="7" spans="1:13" ht="15.75">
      <c r="A7" s="6" t="s">
        <v>60</v>
      </c>
      <c r="B7" s="1">
        <v>11324</v>
      </c>
      <c r="C7" s="1">
        <v>11684</v>
      </c>
      <c r="D7" s="1">
        <v>12694</v>
      </c>
      <c r="E7" s="1">
        <v>15179</v>
      </c>
      <c r="F7" s="1">
        <v>13789</v>
      </c>
      <c r="G7" s="54" t="s">
        <v>57</v>
      </c>
      <c r="K7" s="2"/>
      <c r="L7" s="2"/>
    </row>
    <row r="8" spans="1:13" ht="15" customHeight="1">
      <c r="G8" s="54"/>
      <c r="L8" s="1"/>
      <c r="M8" s="1"/>
    </row>
    <row r="9" spans="1:13" ht="15" customHeight="1">
      <c r="A9" s="4" t="s">
        <v>61</v>
      </c>
      <c r="B9" s="8">
        <v>68116</v>
      </c>
      <c r="C9" s="8">
        <v>69737</v>
      </c>
      <c r="D9" s="8">
        <v>71825</v>
      </c>
      <c r="E9" s="1">
        <v>77076</v>
      </c>
      <c r="F9" s="1">
        <v>78313</v>
      </c>
      <c r="G9" s="54" t="s">
        <v>62</v>
      </c>
      <c r="L9" s="1"/>
      <c r="M9" s="1"/>
    </row>
    <row r="10" spans="1:13" ht="15.75">
      <c r="A10" s="5" t="s">
        <v>63</v>
      </c>
      <c r="B10" s="8">
        <v>47434</v>
      </c>
      <c r="C10" s="8">
        <v>48760</v>
      </c>
      <c r="D10" s="8">
        <v>50221</v>
      </c>
      <c r="E10" s="1">
        <v>50973</v>
      </c>
      <c r="F10" s="1">
        <v>49153</v>
      </c>
      <c r="G10" s="54" t="s">
        <v>62</v>
      </c>
      <c r="L10" s="1"/>
      <c r="M10" s="1"/>
    </row>
    <row r="11" spans="1:13" ht="15.75">
      <c r="A11" s="5" t="s">
        <v>64</v>
      </c>
      <c r="B11" s="8">
        <v>13640</v>
      </c>
      <c r="C11" s="8">
        <v>14647</v>
      </c>
      <c r="D11" s="8">
        <v>16049</v>
      </c>
      <c r="E11" s="1">
        <v>20296</v>
      </c>
      <c r="F11" s="1">
        <v>20899</v>
      </c>
      <c r="G11" s="54" t="s">
        <v>62</v>
      </c>
      <c r="J11" s="2"/>
      <c r="K11" s="2"/>
      <c r="L11" s="2"/>
      <c r="M11" s="2"/>
    </row>
    <row r="12" spans="1:13" ht="15.75">
      <c r="A12" s="6" t="s">
        <v>65</v>
      </c>
      <c r="B12" s="8">
        <v>10841</v>
      </c>
      <c r="C12" s="8">
        <v>10944</v>
      </c>
      <c r="D12" s="8">
        <v>11627</v>
      </c>
      <c r="E12" s="1">
        <v>12403</v>
      </c>
      <c r="F12" s="1">
        <v>15672</v>
      </c>
      <c r="G12" s="54" t="s">
        <v>62</v>
      </c>
      <c r="K12" s="7"/>
      <c r="L12" s="7"/>
      <c r="M12" s="7"/>
    </row>
    <row r="13" spans="1:13" ht="15.75">
      <c r="A13" s="5" t="s">
        <v>66</v>
      </c>
      <c r="B13" s="8">
        <v>3383</v>
      </c>
      <c r="C13" s="8">
        <v>3890</v>
      </c>
      <c r="D13" s="8">
        <v>4031</v>
      </c>
      <c r="E13" s="1">
        <v>3812</v>
      </c>
      <c r="F13" s="1">
        <v>4161</v>
      </c>
      <c r="G13" s="54" t="s">
        <v>62</v>
      </c>
      <c r="I13" s="16"/>
      <c r="K13" s="7"/>
      <c r="L13" s="7"/>
      <c r="M13" s="7"/>
    </row>
    <row r="14" spans="1:13" ht="15.75">
      <c r="A14" s="6" t="s">
        <v>67</v>
      </c>
      <c r="B14" s="8">
        <v>1648</v>
      </c>
      <c r="C14" s="8">
        <v>1932</v>
      </c>
      <c r="D14" s="8">
        <v>2735</v>
      </c>
      <c r="E14" s="1">
        <v>2690</v>
      </c>
      <c r="F14" s="1">
        <v>3450</v>
      </c>
      <c r="G14" s="54" t="s">
        <v>62</v>
      </c>
      <c r="K14" s="7"/>
      <c r="L14" s="7"/>
      <c r="M14" s="7"/>
    </row>
    <row r="15" spans="1:13" ht="15.75">
      <c r="A15" s="5" t="s">
        <v>68</v>
      </c>
      <c r="B15" s="8">
        <v>8627</v>
      </c>
      <c r="C15" s="8">
        <v>8864</v>
      </c>
      <c r="D15" s="8">
        <v>9391</v>
      </c>
      <c r="E15" s="1">
        <v>10148</v>
      </c>
      <c r="F15" s="1">
        <v>10998</v>
      </c>
      <c r="G15" s="54" t="s">
        <v>62</v>
      </c>
      <c r="K15" s="7"/>
      <c r="L15" s="7"/>
      <c r="M15" s="7"/>
    </row>
    <row r="16" spans="1:13" ht="15.75">
      <c r="A16" s="6" t="s">
        <v>69</v>
      </c>
      <c r="B16" s="8">
        <v>1740</v>
      </c>
      <c r="C16" s="9">
        <v>988</v>
      </c>
      <c r="D16" s="9">
        <v>586</v>
      </c>
      <c r="E16">
        <v>609</v>
      </c>
      <c r="F16" s="1">
        <v>5947</v>
      </c>
      <c r="G16" s="54" t="s">
        <v>62</v>
      </c>
      <c r="H16" s="1"/>
      <c r="I16" s="1"/>
      <c r="K16" s="7"/>
      <c r="L16" s="7"/>
      <c r="M16" s="7"/>
    </row>
    <row r="17" spans="1:13" ht="15.75">
      <c r="A17" s="6" t="s">
        <v>70</v>
      </c>
      <c r="B17" s="9">
        <v>679</v>
      </c>
      <c r="C17" s="9">
        <v>686</v>
      </c>
      <c r="D17" s="9">
        <v>746</v>
      </c>
      <c r="E17" s="1">
        <v>1034</v>
      </c>
      <c r="F17" s="1">
        <v>1157</v>
      </c>
      <c r="G17" s="54" t="s">
        <v>62</v>
      </c>
      <c r="I17" s="1"/>
      <c r="K17" s="7"/>
      <c r="L17" s="7"/>
      <c r="M17" s="7"/>
    </row>
    <row r="18" spans="1:13" ht="15.75">
      <c r="A18" s="6" t="s">
        <v>71</v>
      </c>
      <c r="B18" s="9">
        <v>264</v>
      </c>
      <c r="C18" s="9">
        <v>285</v>
      </c>
      <c r="D18" s="9">
        <v>293</v>
      </c>
      <c r="E18">
        <v>340</v>
      </c>
      <c r="F18">
        <v>380</v>
      </c>
      <c r="G18" s="54" t="s">
        <v>62</v>
      </c>
      <c r="I18" s="1"/>
      <c r="K18" s="7"/>
      <c r="L18" s="7"/>
      <c r="M18" s="7"/>
    </row>
    <row r="19" spans="1:13">
      <c r="I19" s="1"/>
      <c r="K19" s="7"/>
      <c r="L19" s="2"/>
      <c r="M19" s="2"/>
    </row>
    <row r="20" spans="1:13">
      <c r="K20" s="2"/>
      <c r="L20" s="2"/>
      <c r="M20" s="2"/>
    </row>
    <row r="21" spans="1:13">
      <c r="K21" s="2"/>
    </row>
  </sheetData>
  <mergeCells count="1">
    <mergeCell ref="A1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00BFB-49F8-479F-935F-747800123858}">
  <dimension ref="A1:L29"/>
  <sheetViews>
    <sheetView workbookViewId="0">
      <selection activeCell="D12" sqref="C12:D12"/>
    </sheetView>
  </sheetViews>
  <sheetFormatPr defaultRowHeight="15"/>
  <cols>
    <col min="1" max="1" width="22.140625" customWidth="1"/>
    <col min="2" max="2" width="11.5703125" customWidth="1"/>
    <col min="3" max="3" width="11.140625" customWidth="1"/>
    <col min="4" max="4" width="10.7109375" customWidth="1"/>
    <col min="5" max="5" width="11.42578125" customWidth="1"/>
    <col min="6" max="6" width="11.140625" customWidth="1"/>
    <col min="12" max="12" width="9.42578125" customWidth="1"/>
  </cols>
  <sheetData>
    <row r="1" spans="1:12">
      <c r="A1" s="184" t="s">
        <v>72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6"/>
    </row>
    <row r="2" spans="1:12">
      <c r="A2" s="187"/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9"/>
    </row>
    <row r="3" spans="1:12" ht="15.75">
      <c r="A3" s="24" t="s">
        <v>73</v>
      </c>
      <c r="B3" s="25" t="s">
        <v>74</v>
      </c>
      <c r="C3" s="3" t="s">
        <v>75</v>
      </c>
      <c r="D3" s="3" t="s">
        <v>76</v>
      </c>
      <c r="E3" s="3" t="s">
        <v>77</v>
      </c>
      <c r="F3" s="3" t="s">
        <v>78</v>
      </c>
    </row>
    <row r="4" spans="1:12" ht="15.75">
      <c r="A4" s="6" t="s">
        <v>79</v>
      </c>
      <c r="B4" s="54" t="s">
        <v>80</v>
      </c>
      <c r="C4" s="13">
        <f>('Raw Data'!C4/'Raw Data'!B4)-1</f>
        <v>0.11090022290393065</v>
      </c>
      <c r="D4" s="13">
        <f>('Raw Data'!D4/'Raw Data'!C4)-1</f>
        <v>0.15531627463445652</v>
      </c>
      <c r="E4" s="13">
        <f>('Raw Data'!E4/'Raw Data'!D4)-1</f>
        <v>2.4503903428826801E-2</v>
      </c>
      <c r="F4" s="13">
        <f>('Raw Data'!F4/'Raw Data'!E4)-1</f>
        <v>1.8479665654005606E-2</v>
      </c>
    </row>
    <row r="5" spans="1:12" ht="15.75">
      <c r="A5" s="6" t="s">
        <v>81</v>
      </c>
      <c r="B5" s="54" t="s">
        <v>80</v>
      </c>
      <c r="C5" s="13">
        <f>('Raw Data'!C5/'Raw Data'!B5)-1</f>
        <v>0.10411515365595192</v>
      </c>
      <c r="D5" s="13">
        <f>('Raw Data'!D5/'Raw Data'!C5)-1</f>
        <v>9.0298328401183792E-2</v>
      </c>
      <c r="E5" s="13">
        <f>('Raw Data'!E5/'Raw Data'!D5)-1</f>
        <v>4.0933098591549255E-2</v>
      </c>
      <c r="F5" s="13">
        <f>('Raw Data'!F5/'Raw Data'!E5)-1</f>
        <v>6.9767441860464352E-3</v>
      </c>
    </row>
    <row r="6" spans="1:12" ht="15.75">
      <c r="A6" s="6" t="s">
        <v>82</v>
      </c>
      <c r="B6" s="54" t="s">
        <v>80</v>
      </c>
      <c r="C6" s="13">
        <f>('Raw Data'!C6/'Raw Data'!B6)-1</f>
        <v>0.10862459140055325</v>
      </c>
      <c r="D6" s="13">
        <f>('Raw Data'!D6/'Raw Data'!C6)-1</f>
        <v>0.12973463370378768</v>
      </c>
      <c r="E6" s="13">
        <f>('Raw Data'!E6/'Raw Data'!D6)-1</f>
        <v>1.5257980325235954E-2</v>
      </c>
      <c r="F6" s="13">
        <f>('Raw Data'!F6/'Raw Data'!E6)-1</f>
        <v>5.2402610243227121E-2</v>
      </c>
    </row>
    <row r="7" spans="1:12" ht="15.75">
      <c r="A7" s="6"/>
      <c r="C7" s="13"/>
      <c r="D7" s="13"/>
      <c r="E7" s="13"/>
      <c r="F7" s="13"/>
      <c r="H7" s="16"/>
    </row>
    <row r="8" spans="1:12" ht="15.75">
      <c r="A8" s="6" t="s">
        <v>83</v>
      </c>
      <c r="B8" s="13">
        <f>'Raw Data'!B5/'Raw Data'!B4</f>
        <v>0.24991723863962392</v>
      </c>
      <c r="C8" s="13">
        <f>'Raw Data'!C5/'Raw Data'!C4</f>
        <v>0.24839081373172281</v>
      </c>
      <c r="D8" s="13">
        <f>'Raw Data'!D5/'Raw Data'!D4</f>
        <v>0.23441207827492519</v>
      </c>
      <c r="E8" s="13">
        <f>'Raw Data'!E5/'Raw Data'!E4</f>
        <v>0.23817116769331476</v>
      </c>
      <c r="F8" s="13">
        <f>'Raw Data'!F5/'Raw Data'!F4</f>
        <v>0.2354812129202373</v>
      </c>
    </row>
    <row r="9" spans="1:12" ht="15.75">
      <c r="A9" s="6" t="s">
        <v>84</v>
      </c>
      <c r="B9" s="13">
        <f>'Raw Data'!B6/'Raw Data'!B4</f>
        <v>0.17554236278166449</v>
      </c>
      <c r="C9" s="13">
        <f>'Raw Data'!C6/'Raw Data'!C4</f>
        <v>0.17518277177368086</v>
      </c>
      <c r="D9" s="13">
        <f>'Raw Data'!D6/'Raw Data'!D4</f>
        <v>0.17130377961963064</v>
      </c>
      <c r="E9" s="13">
        <f>'Raw Data'!E6/'Raw Data'!E4</f>
        <v>0.16975780056731399</v>
      </c>
      <c r="F9" s="13">
        <f>'Raw Data'!F6/'Raw Data'!F4</f>
        <v>0.17541199736321689</v>
      </c>
    </row>
    <row r="10" spans="1:12" ht="18" customHeight="1">
      <c r="A10" s="6"/>
    </row>
    <row r="11" spans="1:12" ht="19.5" customHeight="1">
      <c r="A11" s="11" t="s">
        <v>30</v>
      </c>
      <c r="B11" s="1">
        <f>'Raw Data'!B11-'Raw Data'!B12</f>
        <v>2799</v>
      </c>
      <c r="C11" s="1">
        <f>'Raw Data'!C11-'Raw Data'!C12</f>
        <v>3703</v>
      </c>
      <c r="D11" s="1">
        <f>'Raw Data'!D11-'Raw Data'!D12</f>
        <v>4422</v>
      </c>
      <c r="E11" s="1">
        <f>'Raw Data'!E11-'Raw Data'!E12</f>
        <v>7893</v>
      </c>
      <c r="F11" s="1">
        <f>'Raw Data'!F11-'Raw Data'!F12</f>
        <v>5227</v>
      </c>
    </row>
    <row r="12" spans="1:12" ht="15.75">
      <c r="A12" s="6" t="s">
        <v>85</v>
      </c>
      <c r="C12" s="13">
        <f>'Raw Data'!C6/AVERAGE('Raw Data'!B10,'Raw Data'!C10)</f>
        <v>0.18333783811880158</v>
      </c>
      <c r="D12" s="13">
        <f>'Raw Data'!D6/AVERAGE('Raw Data'!C10,'Raw Data'!D10)</f>
        <v>0.20129115688869581</v>
      </c>
      <c r="E12" s="13">
        <f>'Raw Data'!E6/AVERAGE('Raw Data'!D10,'Raw Data'!E10)</f>
        <v>0.19989327430480067</v>
      </c>
      <c r="F12" s="13">
        <f>'Raw Data'!F6/AVERAGE('Raw Data'!E10,'Raw Data'!F10)</f>
        <v>0.21261210874298384</v>
      </c>
      <c r="J12" s="17"/>
    </row>
    <row r="13" spans="1:12" ht="15.75">
      <c r="A13" s="6"/>
    </row>
    <row r="14" spans="1:12" ht="15.75">
      <c r="A14" s="6" t="s">
        <v>86</v>
      </c>
      <c r="B14">
        <f>'Raw Data'!B17+'Raw Data'!B18</f>
        <v>943</v>
      </c>
      <c r="C14">
        <f>'Raw Data'!C17+'Raw Data'!C18</f>
        <v>971</v>
      </c>
      <c r="D14">
        <f>'Raw Data'!D17+'Raw Data'!D18</f>
        <v>1039</v>
      </c>
      <c r="E14">
        <f>'Raw Data'!E17+'Raw Data'!E18</f>
        <v>1374</v>
      </c>
      <c r="F14">
        <f>'Raw Data'!F17+'Raw Data'!F18</f>
        <v>1537</v>
      </c>
    </row>
    <row r="15" spans="1:12" ht="15.75">
      <c r="A15" s="6" t="s">
        <v>87</v>
      </c>
      <c r="B15" s="26">
        <f>B14/'Raw Data'!B10</f>
        <v>1.9880254669646245E-2</v>
      </c>
      <c r="C15" s="26">
        <f>C14/'Raw Data'!C10</f>
        <v>1.9913863822805578E-2</v>
      </c>
      <c r="D15" s="26">
        <f>D14/'Raw Data'!D10</f>
        <v>2.0688556579916768E-2</v>
      </c>
      <c r="E15" s="26">
        <f>E14/'Raw Data'!E10</f>
        <v>2.6955447001353657E-2</v>
      </c>
      <c r="F15" s="26">
        <f>F14/'Raw Data'!F10</f>
        <v>3.1269708868227782E-2</v>
      </c>
    </row>
    <row r="16" spans="1:12">
      <c r="A16" s="12" t="s">
        <v>88</v>
      </c>
      <c r="B16" s="216">
        <v>1.1299999999999999</v>
      </c>
      <c r="C16" s="216">
        <v>1.0780000000000001</v>
      </c>
      <c r="D16" s="216">
        <v>1.0189999999999999</v>
      </c>
      <c r="E16" s="216">
        <v>0.96299999999999997</v>
      </c>
      <c r="F16" s="216">
        <v>1.0820000000000001</v>
      </c>
    </row>
    <row r="18" spans="1:6" ht="15.75">
      <c r="A18" s="6" t="s">
        <v>89</v>
      </c>
      <c r="B18" s="27">
        <f>'Raw Data'!B4/'Raw Data'!B13</f>
        <v>13.393733372746084</v>
      </c>
      <c r="C18" s="27">
        <f>'Raw Data'!C4/AVERAGE('Raw Data'!B13,'Raw Data'!C13)</f>
        <v>13.841880929465145</v>
      </c>
      <c r="D18" s="27">
        <f>'Raw Data'!D4/AVERAGE('Raw Data'!C13,'Raw Data'!D13)</f>
        <v>14.683499558136599</v>
      </c>
      <c r="E18" s="27">
        <f>'Raw Data'!E4/AVERAGE('Raw Data'!D13,'Raw Data'!E13)</f>
        <v>15.19291087594033</v>
      </c>
      <c r="F18" s="27">
        <f>'Raw Data'!F4/AVERAGE('Raw Data'!E13,'Raw Data'!F13)</f>
        <v>15.22137213094193</v>
      </c>
    </row>
    <row r="19" spans="1:6" ht="15.75">
      <c r="A19" s="6" t="s">
        <v>90</v>
      </c>
      <c r="B19" s="27">
        <f>'Raw Data'!B4/'Raw Data'!B14</f>
        <v>27.494538834951456</v>
      </c>
      <c r="C19" s="27">
        <f>'Raw Data'!C4/AVERAGE('Raw Data'!B14,'Raw Data'!C14)</f>
        <v>28.120670391061452</v>
      </c>
      <c r="D19" s="27">
        <f>'Raw Data'!D4/AVERAGE('Raw Data'!C14,'Raw Data'!D14)</f>
        <v>24.921362759802872</v>
      </c>
      <c r="E19" s="27">
        <f>'Raw Data'!E4/AVERAGE('Raw Data'!D14,'Raw Data'!E14)</f>
        <v>21.964608294930876</v>
      </c>
      <c r="F19" s="27">
        <f>'Raw Data'!F4/AVERAGE('Raw Data'!E14,'Raw Data'!F14)</f>
        <v>19.765472312703583</v>
      </c>
    </row>
    <row r="20" spans="1:6" ht="15.75">
      <c r="A20" s="6" t="s">
        <v>91</v>
      </c>
      <c r="B20" s="27">
        <v>4</v>
      </c>
      <c r="C20" s="27">
        <v>4.0999999999999996</v>
      </c>
      <c r="D20" s="27">
        <v>4.7</v>
      </c>
      <c r="E20" s="27">
        <v>4.3</v>
      </c>
      <c r="F20" s="27">
        <v>4.4000000000000004</v>
      </c>
    </row>
    <row r="22" spans="1:6" ht="15.75">
      <c r="A22" s="6" t="s">
        <v>92</v>
      </c>
      <c r="B22" s="14">
        <f>365/B18</f>
        <v>27.251550396151043</v>
      </c>
      <c r="C22" s="14">
        <f t="shared" ref="C22:F22" si="0">365/C18</f>
        <v>26.369248649078195</v>
      </c>
      <c r="D22" s="14">
        <f t="shared" si="0"/>
        <v>24.857834370808543</v>
      </c>
      <c r="E22" s="14">
        <f t="shared" si="0"/>
        <v>24.02436261098709</v>
      </c>
      <c r="F22" s="14">
        <f t="shared" si="0"/>
        <v>23.979441331575476</v>
      </c>
    </row>
    <row r="23" spans="1:6" ht="15.75">
      <c r="A23" s="6" t="s">
        <v>93</v>
      </c>
      <c r="B23" s="14">
        <f>365/B19</f>
        <v>13.275363598243253</v>
      </c>
      <c r="C23" s="14">
        <f t="shared" ref="C23:F23" si="1">365/C19</f>
        <v>12.97977590591227</v>
      </c>
      <c r="D23" s="14">
        <f t="shared" si="1"/>
        <v>14.646069058018364</v>
      </c>
      <c r="E23" s="14">
        <f t="shared" si="1"/>
        <v>16.617642122224272</v>
      </c>
      <c r="F23" s="14">
        <f t="shared" si="1"/>
        <v>18.466545814106791</v>
      </c>
    </row>
    <row r="24" spans="1:6" ht="15.75">
      <c r="A24" s="6" t="s">
        <v>94</v>
      </c>
      <c r="B24" s="14">
        <f>365/B20</f>
        <v>91.25</v>
      </c>
      <c r="C24" s="14">
        <f t="shared" ref="C24:F24" si="2">365/C20</f>
        <v>89.024390243902445</v>
      </c>
      <c r="D24" s="14">
        <f t="shared" si="2"/>
        <v>77.659574468085097</v>
      </c>
      <c r="E24" s="14">
        <f t="shared" si="2"/>
        <v>84.883720930232556</v>
      </c>
      <c r="F24" s="14">
        <f t="shared" si="2"/>
        <v>82.954545454545453</v>
      </c>
    </row>
    <row r="25" spans="1:6" ht="15.75">
      <c r="A25" s="6" t="s">
        <v>33</v>
      </c>
      <c r="B25" s="14">
        <f>B22+B23-B24</f>
        <v>-50.723086005605708</v>
      </c>
      <c r="C25" s="14">
        <f t="shared" ref="C25:F25" si="3">C22+C23-C24</f>
        <v>-49.675365688911981</v>
      </c>
      <c r="D25" s="14">
        <f t="shared" si="3"/>
        <v>-38.155671039258188</v>
      </c>
      <c r="E25" s="14">
        <f t="shared" si="3"/>
        <v>-44.241716197021191</v>
      </c>
      <c r="F25" s="14">
        <f t="shared" si="3"/>
        <v>-40.508558308863186</v>
      </c>
    </row>
    <row r="26" spans="1:6" ht="15.75">
      <c r="A26" s="6"/>
    </row>
    <row r="27" spans="1:6" ht="15.75">
      <c r="A27" s="6" t="s">
        <v>95</v>
      </c>
      <c r="B27" s="15">
        <f>('Raw Data'!F4/'Raw Data'!B4)^(1/4)-1</f>
        <v>7.5747836377224598E-2</v>
      </c>
    </row>
    <row r="28" spans="1:6" ht="15.75">
      <c r="A28" s="6" t="s">
        <v>96</v>
      </c>
      <c r="B28" s="15">
        <f>('Raw Data'!F5/'Raw Data'!B5)^(1/4)-1</f>
        <v>5.9864861461521812E-2</v>
      </c>
    </row>
    <row r="29" spans="1:6" ht="15.75">
      <c r="A29" s="6" t="s">
        <v>97</v>
      </c>
      <c r="B29" s="15">
        <f>('Raw Data'!F6/'Raw Data'!B6)^(1/4)-1</f>
        <v>7.5548056410646325E-2</v>
      </c>
    </row>
  </sheetData>
  <mergeCells count="1">
    <mergeCell ref="A1:L2"/>
  </mergeCells>
  <conditionalFormatting sqref="C12:F12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{1DBE8BCA-3809-4EBD-88E4-05F443A4A904}</x14:id>
        </ext>
      </extLst>
    </cfRule>
  </conditionalFormatting>
  <conditionalFormatting sqref="N12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{8F491915-1726-4036-B9E6-DA04E96413DD}</x14:id>
        </ext>
      </extLst>
    </cfRule>
  </conditionalFormatting>
  <conditionalFormatting sqref="C12:F12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{0B90FD6E-1C08-4EAE-8E8F-2D3CC53067C7}</x14:id>
        </ext>
      </extLst>
    </cfRule>
  </conditionalFormatting>
  <conditionalFormatting sqref="C12:F12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{0140069B-01C8-449D-ABEB-5CF4C133989C}</x14:id>
        </ext>
      </extLst>
    </cfRule>
  </conditionalFormatting>
  <conditionalFormatting sqref="I11">
    <cfRule type="iconSet" priority="15">
      <iconSet iconSet="3ArrowsGray">
        <cfvo type="percent" val="0"/>
        <cfvo type="percent" val="33"/>
        <cfvo type="percent" val="67"/>
      </iconSet>
    </cfRule>
  </conditionalFormatting>
  <conditionalFormatting sqref="C4:F9">
    <cfRule type="iconSet" priority="13">
      <iconSet iconSet="3Arrows">
        <cfvo type="percent" val="0"/>
        <cfvo type="percent" val="33"/>
        <cfvo type="percent" val="67"/>
      </iconSet>
    </cfRule>
  </conditionalFormatting>
  <conditionalFormatting sqref="B8:B9">
    <cfRule type="iconSet" priority="12">
      <iconSet iconSet="3Arrows">
        <cfvo type="percent" val="0"/>
        <cfvo type="percent" val="33"/>
        <cfvo type="percent" val="67"/>
      </iconSet>
    </cfRule>
  </conditionalFormatting>
  <conditionalFormatting sqref="B8:F8">
    <cfRule type="iconSet" priority="11">
      <iconSet iconSet="3Arrows">
        <cfvo type="percent" val="0"/>
        <cfvo type="percent" val="33"/>
        <cfvo type="percent" val="67"/>
      </iconSet>
    </cfRule>
  </conditionalFormatting>
  <conditionalFormatting sqref="B9:F9">
    <cfRule type="iconSet" priority="10">
      <iconSet iconSet="3Arrows">
        <cfvo type="percent" val="0"/>
        <cfvo type="percent" val="33"/>
        <cfvo type="percent" val="67"/>
      </iconSet>
    </cfRule>
  </conditionalFormatting>
  <conditionalFormatting sqref="C6:F6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C5:F5">
    <cfRule type="iconSet" priority="8">
      <iconSet iconSet="3Arrows">
        <cfvo type="percent" val="0"/>
        <cfvo type="percent" val="33"/>
        <cfvo type="percent" val="67"/>
      </iconSet>
    </cfRule>
  </conditionalFormatting>
  <conditionalFormatting sqref="C4:F4"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C4:F4">
    <cfRule type="iconSet" priority="2">
      <iconSet>
        <cfvo type="percent" val="0"/>
        <cfvo type="percent" val="33"/>
        <cfvo type="percent" val="67"/>
      </iconSet>
    </cfRule>
    <cfRule type="iconSet" priority="3">
      <iconSet>
        <cfvo type="percent" val="0"/>
        <cfvo type="percent" val="33"/>
        <cfvo type="percent" val="67"/>
      </iconSet>
    </cfRule>
    <cfRule type="iconSet" priority="6">
      <iconSet>
        <cfvo type="percent" val="0"/>
        <cfvo type="percent" val="33"/>
        <cfvo type="percent" val="67"/>
      </iconSet>
    </cfRule>
  </conditionalFormatting>
  <conditionalFormatting sqref="C4:F4">
    <cfRule type="iconSet" priority="1">
      <iconSet iconSet="3Arrows">
        <cfvo type="percent" val="0"/>
        <cfvo type="percent" val="33"/>
        <cfvo type="percent" val="67"/>
      </iconSet>
    </cfRule>
    <cfRule type="iconSet" priority="4">
      <iconSet iconSet="3Arrows">
        <cfvo type="percent" val="0"/>
        <cfvo type="percent" val="33"/>
        <cfvo type="percent" val="67"/>
      </iconSet>
    </cfRule>
    <cfRule type="iconSet" priority="5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BE8BCA-3809-4EBD-88E4-05F443A4A9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C12:F12</xm:sqref>
        </x14:conditionalFormatting>
        <x14:conditionalFormatting xmlns:xm="http://schemas.microsoft.com/office/excel/2006/main">
          <x14:cfRule type="dataBar" id="{8F491915-1726-4036-B9E6-DA04E96413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N12</xm:sqref>
        </x14:conditionalFormatting>
        <x14:conditionalFormatting xmlns:xm="http://schemas.microsoft.com/office/excel/2006/main">
          <x14:cfRule type="dataBar" id="{0B90FD6E-1C08-4EAE-8E8F-2D3CC53067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C12:F12</xm:sqref>
        </x14:conditionalFormatting>
        <x14:conditionalFormatting xmlns:xm="http://schemas.microsoft.com/office/excel/2006/main">
          <x14:cfRule type="dataBar" id="{0140069B-01C8-449D-ABEB-5CF4C13398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C12:F12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281A5-C99B-4129-99FC-04D86EA69D7A}">
  <dimension ref="A1:F18"/>
  <sheetViews>
    <sheetView workbookViewId="0">
      <selection activeCell="K23" sqref="K23"/>
    </sheetView>
  </sheetViews>
  <sheetFormatPr defaultRowHeight="15"/>
  <cols>
    <col min="1" max="1" width="31.85546875" customWidth="1"/>
    <col min="2" max="2" width="10.42578125" customWidth="1"/>
    <col min="3" max="3" width="9.7109375" customWidth="1"/>
    <col min="4" max="4" width="10.7109375" customWidth="1"/>
    <col min="5" max="5" width="10.5703125" customWidth="1"/>
    <col min="6" max="6" width="9.7109375" customWidth="1"/>
  </cols>
  <sheetData>
    <row r="1" spans="1:6">
      <c r="A1" s="190" t="s">
        <v>98</v>
      </c>
      <c r="B1" s="191"/>
      <c r="C1" s="191"/>
      <c r="D1" s="191"/>
      <c r="E1" s="191"/>
      <c r="F1" s="192"/>
    </row>
    <row r="2" spans="1:6">
      <c r="A2" s="193"/>
      <c r="B2" s="194"/>
      <c r="C2" s="194"/>
      <c r="D2" s="194"/>
      <c r="E2" s="194"/>
      <c r="F2" s="195"/>
    </row>
    <row r="3" spans="1:6">
      <c r="A3" t="s">
        <v>99</v>
      </c>
      <c r="B3" t="s">
        <v>74</v>
      </c>
      <c r="C3" t="s">
        <v>75</v>
      </c>
      <c r="D3" t="s">
        <v>76</v>
      </c>
      <c r="E3" t="s">
        <v>77</v>
      </c>
      <c r="F3" t="s">
        <v>78</v>
      </c>
    </row>
    <row r="4" spans="1:6" ht="13.5" customHeight="1"/>
    <row r="5" spans="1:6" ht="16.5" customHeight="1">
      <c r="A5" s="18" t="s">
        <v>100</v>
      </c>
      <c r="B5">
        <f>'Raw Data'!B4/'Raw Data'!$B$4*100</f>
        <v>100</v>
      </c>
      <c r="C5" s="14">
        <f>'Raw Data'!C4/'Raw Data'!$B$4*100</f>
        <v>111.09002229039307</v>
      </c>
      <c r="D5" s="14">
        <f>'Raw Data'!D4/'Raw Data'!$B$4*100</f>
        <v>128.34411070159564</v>
      </c>
      <c r="E5" s="14">
        <f>'Raw Data'!E4/'Raw Data'!$B$4*100</f>
        <v>131.4890423958862</v>
      </c>
      <c r="F5" s="14">
        <f>'Raw Data'!F4/'Raw Data'!$B$4*100</f>
        <v>133.91891593652755</v>
      </c>
    </row>
    <row r="6" spans="1:6">
      <c r="A6" s="29" t="s">
        <v>101</v>
      </c>
      <c r="B6">
        <f>'Raw Data'!B5/'Raw Data'!$B$5*100</f>
        <v>100</v>
      </c>
      <c r="C6" s="14">
        <f>'Raw Data'!C5/'Raw Data'!$B$5*100</f>
        <v>110.41151536559519</v>
      </c>
      <c r="D6" s="14">
        <f>'Raw Data'!D5/'Raw Data'!$B$5*100</f>
        <v>120.38149063935006</v>
      </c>
      <c r="E6" s="14">
        <f>'Raw Data'!E5/'Raw Data'!$B$5*100</f>
        <v>125.30907806428824</v>
      </c>
      <c r="F6" s="14">
        <f>'Raw Data'!F5/'Raw Data'!$B$5*100</f>
        <v>126.1833274461321</v>
      </c>
    </row>
    <row r="7" spans="1:6">
      <c r="A7" s="29" t="s">
        <v>102</v>
      </c>
      <c r="B7">
        <f>'Raw Data'!B6/'Raw Data'!$B$6*100</f>
        <v>100</v>
      </c>
      <c r="C7" s="14">
        <f>'Raw Data'!C6/'Raw Data'!$B$6*100</f>
        <v>110.86245914005532</v>
      </c>
      <c r="D7" s="14">
        <f>'Raw Data'!D6/'Raw Data'!$B$6*100</f>
        <v>125.24515966809153</v>
      </c>
      <c r="E7" s="14">
        <f>'Raw Data'!E6/'Raw Data'!$B$6*100</f>
        <v>127.1561478501383</v>
      </c>
      <c r="F7" s="14">
        <f>'Raw Data'!F6/'Raw Data'!$B$6*100</f>
        <v>133.81946190595926</v>
      </c>
    </row>
    <row r="8" spans="1:6">
      <c r="A8" s="29" t="s">
        <v>103</v>
      </c>
      <c r="B8">
        <f>'Raw Data'!B7/'Raw Data'!$B$7*100</f>
        <v>100</v>
      </c>
      <c r="C8" s="14">
        <f>'Raw Data'!C7/'Raw Data'!$B$7*100</f>
        <v>103.17908866125045</v>
      </c>
      <c r="D8" s="14">
        <f>'Raw Data'!D7/'Raw Data'!$B$7*100</f>
        <v>112.09819851642528</v>
      </c>
      <c r="E8" s="14">
        <f>'Raw Data'!E7/'Raw Data'!$B$7*100</f>
        <v>134.04274108089012</v>
      </c>
      <c r="F8" s="14">
        <f>'Raw Data'!F7/'Raw Data'!$B$7*100</f>
        <v>121.76792652772872</v>
      </c>
    </row>
    <row r="10" spans="1:6" ht="17.25" customHeight="1">
      <c r="A10" s="18" t="s">
        <v>104</v>
      </c>
      <c r="B10" s="13">
        <f>'Raw Data'!B5/'Raw Data'!B4</f>
        <v>0.24991723863962392</v>
      </c>
      <c r="C10" s="13">
        <f>'Raw Data'!C5/'Raw Data'!C4</f>
        <v>0.24839081373172281</v>
      </c>
      <c r="D10" s="13">
        <f>'Raw Data'!D5/'Raw Data'!D4</f>
        <v>0.23441207827492519</v>
      </c>
      <c r="E10" s="13">
        <f>'Raw Data'!E5/'Raw Data'!E4</f>
        <v>0.23817116769331476</v>
      </c>
      <c r="F10" s="13">
        <f>'Raw Data'!F5/'Raw Data'!F4</f>
        <v>0.2354812129202373</v>
      </c>
    </row>
    <row r="11" spans="1:6">
      <c r="A11" t="s">
        <v>105</v>
      </c>
      <c r="B11" s="13">
        <f>'Raw Data'!B6/'Raw Data'!B4</f>
        <v>0.17554236278166449</v>
      </c>
      <c r="C11" s="13">
        <f>'Raw Data'!C6/'Raw Data'!C4</f>
        <v>0.17518277177368086</v>
      </c>
      <c r="D11" s="13">
        <f>'Raw Data'!D6/'Raw Data'!D4</f>
        <v>0.17130377961963064</v>
      </c>
      <c r="E11" s="13">
        <f>'Raw Data'!E6/'Raw Data'!E4</f>
        <v>0.16975780056731399</v>
      </c>
      <c r="F11" s="13">
        <f>'Raw Data'!F6/'Raw Data'!F4</f>
        <v>0.17541199736321689</v>
      </c>
    </row>
    <row r="12" spans="1:6">
      <c r="A12" t="s">
        <v>106</v>
      </c>
      <c r="B12" s="13">
        <f>'Raw Data'!B7/'Raw Data'!B4</f>
        <v>0.24991723863962392</v>
      </c>
      <c r="C12" s="13">
        <f>'Raw Data'!C7/'Raw Data'!C4</f>
        <v>0.23212015257469804</v>
      </c>
      <c r="D12" s="13">
        <f>'Raw Data'!D7/'Raw Data'!D4</f>
        <v>0.21828249131616054</v>
      </c>
      <c r="E12" s="13">
        <f>'Raw Data'!E7/'Raw Data'!E4</f>
        <v>0.2547709763507276</v>
      </c>
      <c r="F12" s="13">
        <f>'Raw Data'!F7/'Raw Data'!F4</f>
        <v>0.2272412656558998</v>
      </c>
    </row>
    <row r="14" spans="1:6">
      <c r="A14" t="s">
        <v>107</v>
      </c>
      <c r="B14" s="13">
        <f>'Raw Data'!B11/'Raw Data'!B9</f>
        <v>0.20024663808796758</v>
      </c>
      <c r="C14" s="13">
        <f>'Raw Data'!C11/'Raw Data'!C9</f>
        <v>0.21003197728608916</v>
      </c>
      <c r="D14" s="13">
        <f>'Raw Data'!D11/'Raw Data'!D9</f>
        <v>0.22344587539157676</v>
      </c>
      <c r="E14" s="13">
        <f>'Raw Data'!E11/'Raw Data'!E9</f>
        <v>0.26332451087238568</v>
      </c>
      <c r="F14" s="13">
        <f>'Raw Data'!F11/'Raw Data'!F9</f>
        <v>0.26686501602543639</v>
      </c>
    </row>
    <row r="15" spans="1:6">
      <c r="A15" t="s">
        <v>108</v>
      </c>
      <c r="B15" s="13">
        <f>'Raw Data'!B12/'Raw Data'!B9</f>
        <v>0.15915497093193964</v>
      </c>
      <c r="C15" s="13">
        <f>'Raw Data'!C12/'Raw Data'!C9</f>
        <v>0.15693247486986822</v>
      </c>
      <c r="D15" s="13">
        <f>'Raw Data'!D12/'Raw Data'!D9</f>
        <v>0.16187956839540549</v>
      </c>
      <c r="E15" s="13">
        <f>'Raw Data'!E12/'Raw Data'!E9</f>
        <v>0.16091909284342726</v>
      </c>
      <c r="F15" s="13">
        <f>'Raw Data'!F12/'Raw Data'!F9</f>
        <v>0.20012003115702373</v>
      </c>
    </row>
    <row r="16" spans="1:6">
      <c r="A16" t="s">
        <v>109</v>
      </c>
      <c r="B16" s="13">
        <f>'Raw Data'!B16/'Raw Data'!B9</f>
        <v>2.5544659110928417E-2</v>
      </c>
      <c r="C16" s="13">
        <f>'Raw Data'!C16/'Raw Data'!C9</f>
        <v>1.4167515092418658E-2</v>
      </c>
      <c r="D16" s="13">
        <f>'Raw Data'!D16/'Raw Data'!D9</f>
        <v>8.1587191089453528E-3</v>
      </c>
      <c r="E16" s="13">
        <f>'Raw Data'!E16/'Raw Data'!E9</f>
        <v>7.9012922310446824E-3</v>
      </c>
      <c r="F16" s="13">
        <f>'Raw Data'!F16/'Raw Data'!F9</f>
        <v>7.5938860725550034E-2</v>
      </c>
    </row>
    <row r="17" spans="1:6">
      <c r="A17" t="s">
        <v>110</v>
      </c>
      <c r="B17" s="13">
        <f>'Raw Data'!B13/'Raw Data'!B11</f>
        <v>0.24802052785923753</v>
      </c>
      <c r="C17" s="13">
        <f>'Raw Data'!C13/'Raw Data'!C11</f>
        <v>0.26558339591725266</v>
      </c>
      <c r="D17" s="13">
        <f>'Raw Data'!D13/'Raw Data'!D11</f>
        <v>0.25116829709016136</v>
      </c>
      <c r="E17" s="13">
        <f>'Raw Data'!E13/'Raw Data'!E11</f>
        <v>0.1878202601497832</v>
      </c>
      <c r="F17" s="13">
        <f>'Raw Data'!F13/'Raw Data'!F11</f>
        <v>0.19910043542753242</v>
      </c>
    </row>
    <row r="18" spans="1:6">
      <c r="A18" t="s">
        <v>111</v>
      </c>
      <c r="B18" s="13">
        <f>'Raw Data'!B14/'Raw Data'!B4</f>
        <v>3.6370859173269182E-2</v>
      </c>
      <c r="C18" s="13">
        <f>'Raw Data'!C14/'Raw Data'!C4</f>
        <v>3.8382072472981567E-2</v>
      </c>
      <c r="D18" s="13">
        <f>'Raw Data'!D14/'Raw Data'!D4</f>
        <v>4.703029886164322E-2</v>
      </c>
      <c r="E18" s="13">
        <f>'Raw Data'!E14/'Raw Data'!E4</f>
        <v>4.5150136793165374E-2</v>
      </c>
      <c r="F18" s="13">
        <f>'Raw Data'!F14/'Raw Data'!F4</f>
        <v>5.6855636123928806E-2</v>
      </c>
    </row>
  </sheetData>
  <mergeCells count="1">
    <mergeCell ref="A1:F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41183-9B80-4A06-B0C1-EC451F498424}">
  <dimension ref="A1:F19"/>
  <sheetViews>
    <sheetView workbookViewId="0">
      <selection activeCell="M21" sqref="M21"/>
    </sheetView>
  </sheetViews>
  <sheetFormatPr defaultRowHeight="15"/>
  <cols>
    <col min="1" max="1" width="19.85546875" customWidth="1"/>
    <col min="2" max="2" width="10.28515625" customWidth="1"/>
    <col min="3" max="3" width="11.140625" customWidth="1"/>
    <col min="4" max="4" width="10.85546875" customWidth="1"/>
    <col min="5" max="5" width="10.5703125" customWidth="1"/>
    <col min="6" max="6" width="11.28515625" customWidth="1"/>
  </cols>
  <sheetData>
    <row r="1" spans="1:6">
      <c r="A1" s="196" t="s">
        <v>112</v>
      </c>
      <c r="B1" s="197"/>
      <c r="C1" s="197"/>
      <c r="D1" s="197"/>
      <c r="E1" s="197"/>
      <c r="F1" s="198"/>
    </row>
    <row r="2" spans="1:6">
      <c r="A2" s="199"/>
      <c r="B2" s="200"/>
      <c r="C2" s="200"/>
      <c r="D2" s="200"/>
      <c r="E2" s="200"/>
      <c r="F2" s="201"/>
    </row>
    <row r="3" spans="1:6">
      <c r="A3" t="s">
        <v>99</v>
      </c>
      <c r="B3" t="s">
        <v>74</v>
      </c>
      <c r="C3" t="s">
        <v>75</v>
      </c>
      <c r="D3" t="s">
        <v>76</v>
      </c>
      <c r="E3" t="s">
        <v>77</v>
      </c>
      <c r="F3" t="s">
        <v>78</v>
      </c>
    </row>
    <row r="5" spans="1:6" ht="17.25" customHeight="1">
      <c r="A5" s="18" t="s">
        <v>113</v>
      </c>
      <c r="B5" s="13">
        <f>'Raw Data'!B6/'Raw Data'!B4</f>
        <v>0.17554236278166449</v>
      </c>
      <c r="C5" s="13">
        <f>'Raw Data'!C6/'Raw Data'!C4</f>
        <v>0.17518277177368086</v>
      </c>
      <c r="D5" s="13">
        <f>'Raw Data'!D6/'Raw Data'!D4</f>
        <v>0.17130377961963064</v>
      </c>
      <c r="E5" s="13">
        <f>'Raw Data'!E6/'Raw Data'!E4</f>
        <v>0.16975780056731399</v>
      </c>
      <c r="F5" s="13">
        <f>'Raw Data'!F6/'Raw Data'!F4</f>
        <v>0.17541199736321689</v>
      </c>
    </row>
    <row r="6" spans="1:6" ht="15" customHeight="1">
      <c r="A6" s="29" t="s">
        <v>114</v>
      </c>
      <c r="B6" s="13" t="s">
        <v>115</v>
      </c>
      <c r="C6" s="31">
        <v>0.73</v>
      </c>
      <c r="D6" s="31">
        <f>'Raw Data'!D4/AVERAGE('Raw Data'!C9,'Raw Data'!D9)</f>
        <v>0.82160466791935693</v>
      </c>
      <c r="E6" s="31">
        <f>'Raw Data'!E4/AVERAGE('Raw Data'!D9,'Raw Data'!E9)</f>
        <v>0.80024983042424158</v>
      </c>
      <c r="F6" s="31">
        <f>'Raw Data'!F4/AVERAGE('Raw Data'!E9,'Raw Data'!F9)</f>
        <v>0.78100766463520588</v>
      </c>
    </row>
    <row r="7" spans="1:6">
      <c r="A7" s="29" t="s">
        <v>116</v>
      </c>
      <c r="B7" s="13" t="s">
        <v>115</v>
      </c>
      <c r="C7" s="31">
        <f>AVERAGE('Raw Data'!B9,'Raw Data'!C9)/AVERAGE('Raw Data'!B10,'Raw Data'!C10)</f>
        <v>1.4330727488200927</v>
      </c>
      <c r="D7" s="31">
        <f>AVERAGE('Raw Data'!C9,'Raw Data'!D9)/AVERAGE('Raw Data'!C10,'Raw Data'!D10)</f>
        <v>1.4301936735333043</v>
      </c>
      <c r="E7" s="31">
        <f>AVERAGE('Raw Data'!D9,'Raw Data'!E9)/AVERAGE('Raw Data'!D10,'Raw Data'!E10)</f>
        <v>1.471440994525367</v>
      </c>
      <c r="F7" s="31">
        <f>AVERAGE('Raw Data'!E9,'Raw Data'!F9)/AVERAGE('Raw Data'!E10,'Raw Data'!F10)</f>
        <v>1.5519345624513115</v>
      </c>
    </row>
    <row r="8" spans="1:6">
      <c r="A8" s="29" t="s">
        <v>117</v>
      </c>
      <c r="B8" s="13" t="s">
        <v>115</v>
      </c>
      <c r="C8" s="13">
        <f t="shared" ref="C8:F8" si="0">C5*C6*C7</f>
        <v>0.18326624909289121</v>
      </c>
      <c r="D8" s="13">
        <f t="shared" si="0"/>
        <v>0.20129115688869581</v>
      </c>
      <c r="E8" s="13">
        <f t="shared" si="0"/>
        <v>0.19989327430480067</v>
      </c>
      <c r="F8" s="13">
        <f t="shared" si="0"/>
        <v>0.21261210874298386</v>
      </c>
    </row>
    <row r="9" spans="1:6">
      <c r="A9" s="29" t="s">
        <v>118</v>
      </c>
      <c r="B9" t="s">
        <v>115</v>
      </c>
      <c r="C9" s="13">
        <f>Ratios!C12</f>
        <v>0.18333783811880158</v>
      </c>
      <c r="D9" s="13">
        <f>Ratios!D12</f>
        <v>0.20129115688869581</v>
      </c>
      <c r="E9" s="13">
        <f>Ratios!E12</f>
        <v>0.19989327430480067</v>
      </c>
      <c r="F9" s="13">
        <f>Ratios!F12</f>
        <v>0.21261210874298384</v>
      </c>
    </row>
    <row r="19" spans="5:5">
      <c r="E19" s="16"/>
    </row>
  </sheetData>
  <mergeCells count="1">
    <mergeCell ref="A1:F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1E460-A54C-448B-89FB-9299552F8A01}">
  <dimension ref="A1:G22"/>
  <sheetViews>
    <sheetView workbookViewId="0">
      <selection sqref="A1:G2"/>
    </sheetView>
  </sheetViews>
  <sheetFormatPr defaultRowHeight="15"/>
  <cols>
    <col min="1" max="1" width="37.28515625" customWidth="1"/>
    <col min="2" max="2" width="16.85546875" customWidth="1"/>
    <col min="3" max="3" width="14" customWidth="1"/>
    <col min="4" max="4" width="13.85546875" customWidth="1"/>
    <col min="5" max="5" width="10.5703125" customWidth="1"/>
  </cols>
  <sheetData>
    <row r="1" spans="1:7" ht="18.75" customHeight="1">
      <c r="A1" s="202" t="s">
        <v>119</v>
      </c>
      <c r="B1" s="203"/>
      <c r="C1" s="203"/>
      <c r="D1" s="203"/>
      <c r="E1" s="203"/>
      <c r="F1" s="203"/>
      <c r="G1" s="204"/>
    </row>
    <row r="2" spans="1:7">
      <c r="A2" s="205"/>
      <c r="B2" s="206"/>
      <c r="C2" s="206"/>
      <c r="D2" s="206"/>
      <c r="E2" s="206"/>
      <c r="F2" s="206"/>
      <c r="G2" s="207"/>
    </row>
    <row r="3" spans="1:7">
      <c r="A3" s="2" t="s">
        <v>120</v>
      </c>
      <c r="B3" s="2" t="s">
        <v>18</v>
      </c>
      <c r="C3" s="2" t="s">
        <v>83</v>
      </c>
      <c r="D3" s="2" t="s">
        <v>84</v>
      </c>
    </row>
    <row r="4" spans="1:7">
      <c r="A4" t="s">
        <v>121</v>
      </c>
      <c r="B4" s="30">
        <v>0.02</v>
      </c>
      <c r="C4" s="30">
        <v>0.22</v>
      </c>
      <c r="D4" s="30">
        <v>0.16</v>
      </c>
    </row>
    <row r="5" spans="1:7">
      <c r="A5" t="s">
        <v>122</v>
      </c>
      <c r="B5" s="30">
        <v>0.05</v>
      </c>
      <c r="C5" s="30">
        <v>0.24</v>
      </c>
      <c r="D5" s="30">
        <v>0.17499999999999999</v>
      </c>
    </row>
    <row r="6" spans="1:7">
      <c r="A6" t="s">
        <v>123</v>
      </c>
      <c r="B6" s="30">
        <v>0.08</v>
      </c>
      <c r="C6" s="30">
        <v>0.25</v>
      </c>
      <c r="D6" s="30">
        <v>0.185</v>
      </c>
    </row>
    <row r="8" spans="1:7">
      <c r="A8" t="s">
        <v>124</v>
      </c>
      <c r="B8" t="s">
        <v>125</v>
      </c>
      <c r="C8" t="s">
        <v>126</v>
      </c>
      <c r="D8" t="s">
        <v>127</v>
      </c>
      <c r="E8" t="s">
        <v>128</v>
      </c>
    </row>
    <row r="9" spans="1:7">
      <c r="A9" t="s">
        <v>129</v>
      </c>
    </row>
    <row r="10" spans="1:7">
      <c r="A10" t="s">
        <v>130</v>
      </c>
      <c r="B10" s="1">
        <f>'Raw Data'!F4</f>
        <v>60680</v>
      </c>
      <c r="C10" s="1">
        <f>B10*(1+$B$5)</f>
        <v>63714</v>
      </c>
      <c r="D10" s="1">
        <f>C10*(1+$B$5)</f>
        <v>66899.7</v>
      </c>
      <c r="E10" s="32">
        <f>D10*(1+$B$5)</f>
        <v>70244.684999999998</v>
      </c>
    </row>
    <row r="11" spans="1:7">
      <c r="A11" t="s">
        <v>58</v>
      </c>
      <c r="B11" s="32">
        <f>'Raw Data'!F5</f>
        <v>14289</v>
      </c>
      <c r="C11" s="32">
        <f>C10*$C$5</f>
        <v>15291.359999999999</v>
      </c>
      <c r="D11" s="32">
        <f>D10*$C$5</f>
        <v>16055.927999999998</v>
      </c>
      <c r="E11" s="32">
        <f>E10*$C$5</f>
        <v>16858.724399999999</v>
      </c>
    </row>
    <row r="12" spans="1:7">
      <c r="A12" t="s">
        <v>59</v>
      </c>
      <c r="B12" s="32">
        <f>'Raw Data'!F6</f>
        <v>10644</v>
      </c>
      <c r="C12" s="32">
        <f>C10*$D$5</f>
        <v>11149.949999999999</v>
      </c>
      <c r="D12" s="32">
        <f>D10*$D$5</f>
        <v>11707.447499999998</v>
      </c>
      <c r="E12" s="32">
        <f>E10*$D$5</f>
        <v>12292.819874999999</v>
      </c>
    </row>
    <row r="13" spans="1:7">
      <c r="B13" s="30"/>
    </row>
    <row r="14" spans="1:7">
      <c r="A14" t="s">
        <v>131</v>
      </c>
    </row>
    <row r="15" spans="1:7">
      <c r="A15" t="s">
        <v>130</v>
      </c>
      <c r="B15" s="33">
        <f>'Raw Data'!F4</f>
        <v>60680</v>
      </c>
      <c r="C15" s="32">
        <f>B15*(1+$B$4)</f>
        <v>61893.599999999999</v>
      </c>
      <c r="D15" s="32">
        <f>C15*(1+$B$4)</f>
        <v>63131.472000000002</v>
      </c>
      <c r="E15" s="32">
        <f>D15*(1+$B$4)</f>
        <v>64394.101440000006</v>
      </c>
    </row>
    <row r="16" spans="1:7">
      <c r="A16" t="s">
        <v>58</v>
      </c>
      <c r="B16" s="33">
        <f>'Raw Data'!F5</f>
        <v>14289</v>
      </c>
      <c r="C16" s="32">
        <f>C15*$C$4</f>
        <v>13616.592000000001</v>
      </c>
      <c r="D16" s="32">
        <f>D15*$C$4</f>
        <v>13888.923840000001</v>
      </c>
      <c r="E16" s="32">
        <f>E15*$C$4</f>
        <v>14166.702316800001</v>
      </c>
    </row>
    <row r="17" spans="1:6">
      <c r="A17" t="s">
        <v>59</v>
      </c>
      <c r="B17" s="33">
        <f>'Raw Data'!F6</f>
        <v>10644</v>
      </c>
      <c r="C17" s="32">
        <f>C15*$D$4</f>
        <v>9902.9760000000006</v>
      </c>
      <c r="D17" s="32">
        <f>D15*$D$4</f>
        <v>10101.035520000001</v>
      </c>
      <c r="E17" s="32">
        <f>E15*$D$4</f>
        <v>10303.056230400001</v>
      </c>
    </row>
    <row r="19" spans="1:6">
      <c r="A19" t="s">
        <v>132</v>
      </c>
    </row>
    <row r="20" spans="1:6">
      <c r="A20" t="s">
        <v>130</v>
      </c>
      <c r="B20" s="1">
        <f>'Raw Data'!F4</f>
        <v>60680</v>
      </c>
      <c r="C20" s="32">
        <f>B20*(1+$B$6)</f>
        <v>65534.400000000001</v>
      </c>
      <c r="D20" s="32">
        <f>C20*(1+$B$6)</f>
        <v>70777.152000000002</v>
      </c>
      <c r="E20" s="32">
        <f>D20*(1+$B$6)</f>
        <v>76439.324160000004</v>
      </c>
      <c r="F20" s="32"/>
    </row>
    <row r="21" spans="1:6">
      <c r="A21" t="s">
        <v>58</v>
      </c>
      <c r="B21" s="1">
        <f>'Raw Data'!F5</f>
        <v>14289</v>
      </c>
      <c r="C21" s="32">
        <f>C20*$C$6</f>
        <v>16383.6</v>
      </c>
      <c r="D21" s="32">
        <f>D20*$C$6</f>
        <v>17694.288</v>
      </c>
      <c r="E21" s="32">
        <f>E20*$C$6</f>
        <v>19109.831040000001</v>
      </c>
      <c r="F21" s="32"/>
    </row>
    <row r="22" spans="1:6">
      <c r="A22" t="s">
        <v>59</v>
      </c>
      <c r="B22" s="1">
        <f>'Raw Data'!F6</f>
        <v>10644</v>
      </c>
      <c r="C22" s="32">
        <f>C20*$D$6</f>
        <v>12123.864</v>
      </c>
      <c r="D22" s="32">
        <f>D20*$D$6</f>
        <v>13093.77312</v>
      </c>
      <c r="E22" s="32">
        <f>E20*$D$6</f>
        <v>14141.274969600001</v>
      </c>
      <c r="F22" s="32"/>
    </row>
  </sheetData>
  <mergeCells count="1">
    <mergeCell ref="A1:G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663A2-69D2-4B86-9F38-757419427BFD}">
  <dimension ref="A1:F24"/>
  <sheetViews>
    <sheetView topLeftCell="A3" workbookViewId="0">
      <selection activeCell="C13" sqref="C13"/>
    </sheetView>
  </sheetViews>
  <sheetFormatPr defaultRowHeight="15"/>
  <cols>
    <col min="1" max="1" width="34.140625" customWidth="1"/>
    <col min="2" max="6" width="11.85546875" bestFit="1" customWidth="1"/>
  </cols>
  <sheetData>
    <row r="1" spans="1:2" ht="24.75" customHeight="1">
      <c r="A1" s="208" t="s">
        <v>133</v>
      </c>
      <c r="B1" s="209"/>
    </row>
    <row r="2" spans="1:2">
      <c r="A2" s="210"/>
      <c r="B2" s="211"/>
    </row>
    <row r="3" spans="1:2">
      <c r="A3" s="2" t="s">
        <v>134</v>
      </c>
    </row>
    <row r="4" spans="1:2">
      <c r="A4" s="2" t="s">
        <v>59</v>
      </c>
      <c r="B4" s="1">
        <f>'Raw Data'!F6</f>
        <v>10644</v>
      </c>
    </row>
    <row r="5" spans="1:2">
      <c r="A5" s="2" t="s">
        <v>58</v>
      </c>
      <c r="B5" s="1">
        <f>'Raw Data'!F5</f>
        <v>14289</v>
      </c>
    </row>
    <row r="6" spans="1:2">
      <c r="A6" s="2" t="s">
        <v>69</v>
      </c>
      <c r="B6" s="1">
        <f>'Raw Data'!F16</f>
        <v>5947</v>
      </c>
    </row>
    <row r="7" spans="1:2">
      <c r="A7" s="2" t="s">
        <v>86</v>
      </c>
      <c r="B7" s="1">
        <f>'Raw Data'!F17+'Raw Data'!F18</f>
        <v>1537</v>
      </c>
    </row>
    <row r="8" spans="1:2">
      <c r="A8" s="2"/>
    </row>
    <row r="9" spans="1:2">
      <c r="A9" s="2" t="s">
        <v>135</v>
      </c>
    </row>
    <row r="10" spans="1:2">
      <c r="A10" s="2" t="s">
        <v>136</v>
      </c>
      <c r="B10" s="35">
        <v>50</v>
      </c>
    </row>
    <row r="11" spans="1:2">
      <c r="A11" s="2" t="s">
        <v>137</v>
      </c>
      <c r="B11" s="35">
        <v>30</v>
      </c>
    </row>
    <row r="12" spans="1:2">
      <c r="A12" s="2"/>
    </row>
    <row r="13" spans="1:2">
      <c r="A13" s="2" t="s">
        <v>138</v>
      </c>
      <c r="B13" s="53">
        <f>B4*B10</f>
        <v>532200</v>
      </c>
    </row>
    <row r="14" spans="1:2">
      <c r="A14" s="2" t="s">
        <v>139</v>
      </c>
      <c r="B14" s="53">
        <f>B5*B11</f>
        <v>428670</v>
      </c>
    </row>
    <row r="15" spans="1:2">
      <c r="A15" s="2" t="s">
        <v>140</v>
      </c>
      <c r="B15" s="53">
        <f>B14+B6-B7</f>
        <v>433080</v>
      </c>
    </row>
    <row r="16" spans="1:2">
      <c r="A16" s="2" t="s">
        <v>141</v>
      </c>
      <c r="B16" s="53">
        <f>B13-B15</f>
        <v>99120</v>
      </c>
    </row>
    <row r="18" spans="1:6">
      <c r="A18" s="2" t="s">
        <v>142</v>
      </c>
    </row>
    <row r="19" spans="1:6">
      <c r="A19" s="2" t="s">
        <v>136</v>
      </c>
      <c r="B19" s="36">
        <v>40</v>
      </c>
      <c r="C19" s="36">
        <v>45</v>
      </c>
      <c r="D19" s="36">
        <v>50</v>
      </c>
      <c r="E19" s="36">
        <v>55</v>
      </c>
      <c r="F19" s="36">
        <v>60</v>
      </c>
    </row>
    <row r="20" spans="1:6">
      <c r="A20" s="2" t="s">
        <v>143</v>
      </c>
      <c r="B20" s="53">
        <f>$B$4*B19</f>
        <v>425760</v>
      </c>
      <c r="C20" s="53">
        <f t="shared" ref="C20:F20" si="0">$B$4*C19</f>
        <v>478980</v>
      </c>
      <c r="D20" s="53">
        <f t="shared" si="0"/>
        <v>532200</v>
      </c>
      <c r="E20" s="53">
        <f t="shared" si="0"/>
        <v>585420</v>
      </c>
      <c r="F20" s="53">
        <f t="shared" si="0"/>
        <v>638640</v>
      </c>
    </row>
    <row r="22" spans="1:6" ht="15.75">
      <c r="A22" s="212" t="s">
        <v>144</v>
      </c>
      <c r="B22" s="212"/>
      <c r="C22" s="212"/>
      <c r="D22" s="212"/>
      <c r="E22" s="212"/>
      <c r="F22" s="212"/>
    </row>
    <row r="23" spans="1:6">
      <c r="A23" s="213" t="s">
        <v>145</v>
      </c>
      <c r="B23" s="213"/>
      <c r="C23" s="213"/>
      <c r="D23" s="213"/>
      <c r="E23" s="213"/>
      <c r="F23" s="213"/>
    </row>
    <row r="24" spans="1:6">
      <c r="A24" s="213"/>
      <c r="B24" s="213"/>
      <c r="C24" s="213"/>
      <c r="D24" s="213"/>
      <c r="E24" s="213"/>
      <c r="F24" s="213"/>
    </row>
  </sheetData>
  <mergeCells count="3">
    <mergeCell ref="A1:B2"/>
    <mergeCell ref="A22:F22"/>
    <mergeCell ref="A23:F24"/>
  </mergeCells>
  <conditionalFormatting sqref="B20:F2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0:F2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73C2-85DC-42B3-9864-E58DD09590DA}">
  <dimension ref="A1:F12"/>
  <sheetViews>
    <sheetView workbookViewId="0">
      <selection activeCell="C16" sqref="C16"/>
    </sheetView>
  </sheetViews>
  <sheetFormatPr defaultRowHeight="15"/>
  <cols>
    <col min="1" max="1" width="18" customWidth="1"/>
    <col min="2" max="2" width="50" customWidth="1"/>
    <col min="3" max="3" width="47.28515625" customWidth="1"/>
    <col min="4" max="4" width="34.85546875" customWidth="1"/>
  </cols>
  <sheetData>
    <row r="1" spans="1:6">
      <c r="A1" s="214" t="s">
        <v>146</v>
      </c>
      <c r="B1" s="215"/>
      <c r="C1" s="215"/>
      <c r="D1" s="215"/>
    </row>
    <row r="2" spans="1:6">
      <c r="A2" s="215"/>
      <c r="B2" s="215"/>
      <c r="C2" s="215"/>
      <c r="D2" s="215"/>
    </row>
    <row r="3" spans="1:6" ht="27" customHeight="1">
      <c r="A3" s="2" t="s">
        <v>147</v>
      </c>
      <c r="B3" s="2" t="s">
        <v>148</v>
      </c>
      <c r="C3" s="2" t="s">
        <v>149</v>
      </c>
      <c r="D3" s="2" t="s">
        <v>150</v>
      </c>
      <c r="E3" s="2"/>
    </row>
    <row r="4" spans="1:6" ht="48.75" customHeight="1">
      <c r="A4" s="6" t="s">
        <v>151</v>
      </c>
      <c r="B4" s="23" t="s">
        <v>152</v>
      </c>
      <c r="C4" s="19" t="s">
        <v>153</v>
      </c>
      <c r="D4" s="18" t="s">
        <v>154</v>
      </c>
    </row>
    <row r="5" spans="1:6" ht="28.5" customHeight="1">
      <c r="A5" s="6" t="s">
        <v>155</v>
      </c>
      <c r="B5" s="19" t="s">
        <v>156</v>
      </c>
      <c r="C5" s="18" t="s">
        <v>157</v>
      </c>
      <c r="D5" s="18" t="s">
        <v>158</v>
      </c>
    </row>
    <row r="6" spans="1:6" ht="46.5" customHeight="1">
      <c r="A6" s="6" t="s">
        <v>159</v>
      </c>
      <c r="B6" s="19" t="s">
        <v>160</v>
      </c>
      <c r="C6" s="23" t="s">
        <v>161</v>
      </c>
      <c r="D6" s="18" t="s">
        <v>162</v>
      </c>
    </row>
    <row r="7" spans="1:6" ht="44.25" customHeight="1">
      <c r="A7" s="6" t="s">
        <v>163</v>
      </c>
      <c r="B7" s="19" t="s">
        <v>164</v>
      </c>
      <c r="C7" s="23" t="s">
        <v>165</v>
      </c>
      <c r="D7" s="18" t="s">
        <v>166</v>
      </c>
      <c r="F7" s="20"/>
    </row>
    <row r="8" spans="1:6" ht="71.25" customHeight="1">
      <c r="A8" s="6" t="s">
        <v>167</v>
      </c>
      <c r="B8" s="19" t="s">
        <v>168</v>
      </c>
      <c r="C8" s="23" t="s">
        <v>169</v>
      </c>
      <c r="D8" s="18" t="s">
        <v>170</v>
      </c>
    </row>
    <row r="9" spans="1:6" ht="50.25" customHeight="1">
      <c r="A9" s="6" t="s">
        <v>171</v>
      </c>
      <c r="B9" s="19" t="s">
        <v>172</v>
      </c>
      <c r="C9" s="23" t="s">
        <v>173</v>
      </c>
      <c r="D9" s="18" t="s">
        <v>174</v>
      </c>
    </row>
    <row r="10" spans="1:6" ht="45" customHeight="1">
      <c r="A10" s="34" t="s">
        <v>175</v>
      </c>
      <c r="B10" s="19" t="s">
        <v>176</v>
      </c>
      <c r="C10" s="18" t="s">
        <v>177</v>
      </c>
      <c r="D10" s="18" t="s">
        <v>178</v>
      </c>
    </row>
    <row r="11" spans="1:6" ht="45.75">
      <c r="A11" s="34" t="s">
        <v>179</v>
      </c>
      <c r="B11" s="23" t="s">
        <v>180</v>
      </c>
      <c r="C11" s="18" t="s">
        <v>181</v>
      </c>
      <c r="D11" s="18" t="s">
        <v>182</v>
      </c>
    </row>
    <row r="12" spans="1:6" ht="45.75">
      <c r="A12" s="50" t="s">
        <v>183</v>
      </c>
      <c r="B12" s="52" t="s">
        <v>184</v>
      </c>
      <c r="C12" s="51" t="s">
        <v>185</v>
      </c>
      <c r="D12" s="18" t="s">
        <v>186</v>
      </c>
    </row>
  </sheetData>
  <mergeCells count="1">
    <mergeCell ref="A1:D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50F10-01FE-4342-AAEF-FBBDDC079CE0}">
  <dimension ref="A1:Z98"/>
  <sheetViews>
    <sheetView showGridLines="0" tabSelected="1" topLeftCell="A13" workbookViewId="0">
      <selection activeCell="N15" sqref="N15"/>
    </sheetView>
  </sheetViews>
  <sheetFormatPr defaultRowHeight="15"/>
  <cols>
    <col min="1" max="1" width="13.7109375" customWidth="1"/>
  </cols>
  <sheetData>
    <row r="1" spans="1:26" ht="22.5" customHeight="1">
      <c r="A1" s="148" t="s">
        <v>187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50"/>
      <c r="M1" s="39"/>
    </row>
    <row r="2" spans="1:26" ht="33" customHeight="1">
      <c r="A2" s="151" t="s">
        <v>188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40"/>
    </row>
    <row r="4" spans="1:26" ht="15" customHeight="1">
      <c r="A4" s="157" t="s">
        <v>130</v>
      </c>
      <c r="B4" s="158"/>
      <c r="C4" s="159"/>
      <c r="D4" s="155" t="s">
        <v>83</v>
      </c>
      <c r="E4" s="155"/>
      <c r="F4" s="156"/>
      <c r="G4" s="152" t="s">
        <v>59</v>
      </c>
      <c r="H4" s="153"/>
      <c r="I4" s="153"/>
      <c r="J4" s="154" t="s">
        <v>189</v>
      </c>
      <c r="K4" s="94"/>
      <c r="L4" s="95"/>
      <c r="M4" s="41"/>
      <c r="O4" s="58"/>
      <c r="P4" s="58"/>
      <c r="Q4" s="58"/>
      <c r="R4" s="59"/>
      <c r="S4" s="59"/>
      <c r="T4" s="59"/>
      <c r="U4" s="60"/>
      <c r="V4" s="61"/>
      <c r="W4" s="61"/>
      <c r="X4" s="59"/>
      <c r="Y4" s="59"/>
      <c r="Z4" s="59"/>
    </row>
    <row r="5" spans="1:26" ht="15" customHeight="1">
      <c r="A5" s="68" t="str">
        <f>TEXT('Raw Data'!F4,"₹#,##0")&amp;" Cr"</f>
        <v>₹60,680 Cr</v>
      </c>
      <c r="B5" s="69"/>
      <c r="C5" s="70"/>
      <c r="D5" s="74">
        <f>Ratios!F8</f>
        <v>0.2354812129202373</v>
      </c>
      <c r="E5" s="74"/>
      <c r="F5" s="75"/>
      <c r="G5" s="78" t="str">
        <f>TEXT('Raw Data'!F6,"₹#,##0")&amp;" Cr"</f>
        <v>₹10,644 Cr</v>
      </c>
      <c r="H5" s="79"/>
      <c r="I5" s="79"/>
      <c r="J5" s="82">
        <f>Ratios!F16</f>
        <v>1.0820000000000001</v>
      </c>
      <c r="K5" s="83"/>
      <c r="L5" s="84"/>
      <c r="M5" s="42"/>
      <c r="O5" s="43"/>
      <c r="P5" s="43"/>
      <c r="Q5" s="44"/>
      <c r="R5" s="45"/>
      <c r="S5" s="45"/>
      <c r="T5" s="45"/>
      <c r="U5" s="46"/>
      <c r="V5" s="46"/>
      <c r="W5" s="46"/>
      <c r="X5" s="45"/>
      <c r="Y5" s="45"/>
      <c r="Z5" s="45"/>
    </row>
    <row r="6" spans="1:26" ht="15" customHeight="1">
      <c r="A6" s="71"/>
      <c r="B6" s="72"/>
      <c r="C6" s="73"/>
      <c r="D6" s="76"/>
      <c r="E6" s="76"/>
      <c r="F6" s="77"/>
      <c r="G6" s="80"/>
      <c r="H6" s="81"/>
      <c r="I6" s="81"/>
      <c r="J6" s="85"/>
      <c r="K6" s="86"/>
      <c r="L6" s="87"/>
      <c r="M6" s="42"/>
      <c r="O6" s="43"/>
      <c r="P6" s="43"/>
      <c r="Q6" s="44"/>
      <c r="R6" s="45"/>
      <c r="S6" s="45"/>
      <c r="T6" s="45"/>
      <c r="U6" s="46"/>
      <c r="V6" s="46"/>
      <c r="W6" s="46"/>
      <c r="X6" s="45"/>
      <c r="Y6" s="45"/>
      <c r="Z6" s="45"/>
    </row>
    <row r="7" spans="1:26">
      <c r="A7" s="21"/>
      <c r="Q7" s="22"/>
      <c r="R7" s="22"/>
      <c r="S7" s="22"/>
      <c r="T7" s="22"/>
      <c r="U7" s="22"/>
      <c r="V7" s="22"/>
      <c r="W7" s="22"/>
      <c r="X7" s="22"/>
      <c r="Y7" s="22"/>
      <c r="Z7" s="22"/>
    </row>
    <row r="34" spans="1:15" ht="18.75" customHeight="1">
      <c r="A34" s="88" t="s">
        <v>190</v>
      </c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90"/>
      <c r="M34" s="47"/>
      <c r="N34" s="47"/>
      <c r="O34" s="28"/>
    </row>
    <row r="35" spans="1:15" ht="15" customHeight="1">
      <c r="A35" s="91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3"/>
      <c r="M35" s="47"/>
      <c r="N35" s="47"/>
    </row>
    <row r="36" spans="1:15" ht="15" customHeight="1">
      <c r="A36" s="110" t="s">
        <v>151</v>
      </c>
      <c r="B36" s="111"/>
      <c r="C36" s="111"/>
      <c r="D36" s="112"/>
      <c r="E36" s="100" t="s">
        <v>155</v>
      </c>
      <c r="F36" s="101"/>
      <c r="G36" s="101"/>
      <c r="H36" s="102"/>
      <c r="I36" s="94" t="s">
        <v>191</v>
      </c>
      <c r="J36" s="94"/>
      <c r="K36" s="94"/>
      <c r="L36" s="95"/>
      <c r="M36" s="49"/>
      <c r="N36" s="49"/>
    </row>
    <row r="37" spans="1:15" ht="15" customHeight="1">
      <c r="A37" s="113" t="s">
        <v>192</v>
      </c>
      <c r="B37" s="114"/>
      <c r="C37" s="114"/>
      <c r="D37" s="115"/>
      <c r="E37" s="103" t="s">
        <v>193</v>
      </c>
      <c r="F37" s="104"/>
      <c r="G37" s="104"/>
      <c r="H37" s="105"/>
      <c r="I37" s="96" t="s">
        <v>194</v>
      </c>
      <c r="J37" s="96"/>
      <c r="K37" s="96"/>
      <c r="L37" s="97"/>
      <c r="M37" s="48"/>
      <c r="N37" s="48"/>
    </row>
    <row r="38" spans="1:15" ht="15" customHeight="1">
      <c r="A38" s="113"/>
      <c r="B38" s="114"/>
      <c r="C38" s="114"/>
      <c r="D38" s="115"/>
      <c r="E38" s="106"/>
      <c r="F38" s="106"/>
      <c r="G38" s="106"/>
      <c r="H38" s="107"/>
      <c r="I38" s="96"/>
      <c r="J38" s="96"/>
      <c r="K38" s="96"/>
      <c r="L38" s="97"/>
      <c r="M38" s="48"/>
      <c r="N38" s="48"/>
    </row>
    <row r="39" spans="1:15" ht="15" customHeight="1">
      <c r="A39" s="116"/>
      <c r="B39" s="117"/>
      <c r="C39" s="117"/>
      <c r="D39" s="118"/>
      <c r="E39" s="108"/>
      <c r="F39" s="108"/>
      <c r="G39" s="108"/>
      <c r="H39" s="109"/>
      <c r="I39" s="98"/>
      <c r="J39" s="98"/>
      <c r="K39" s="98"/>
      <c r="L39" s="99"/>
      <c r="M39" s="48"/>
      <c r="N39" s="48"/>
    </row>
    <row r="40" spans="1:15" ht="15" customHeight="1">
      <c r="A40" s="56"/>
      <c r="B40" s="56"/>
      <c r="C40" s="56"/>
      <c r="D40" s="56"/>
      <c r="E40" s="55"/>
      <c r="F40" s="55"/>
      <c r="G40" s="55"/>
      <c r="H40" s="55"/>
      <c r="I40" s="57"/>
      <c r="J40" s="57"/>
      <c r="K40" s="57"/>
      <c r="L40" s="57"/>
      <c r="M40" s="48"/>
      <c r="N40" s="48"/>
    </row>
    <row r="41" spans="1:15" ht="15" customHeight="1">
      <c r="A41" s="56"/>
      <c r="B41" s="56"/>
      <c r="C41" s="56"/>
      <c r="D41" s="56"/>
      <c r="E41" s="55"/>
      <c r="F41" s="55"/>
      <c r="G41" s="55"/>
      <c r="H41" s="55"/>
      <c r="I41" s="57"/>
      <c r="J41" s="57"/>
      <c r="K41" s="57"/>
      <c r="L41" s="57"/>
      <c r="M41" s="48"/>
      <c r="N41" s="48"/>
    </row>
    <row r="42" spans="1:15" ht="15" customHeight="1">
      <c r="A42" s="56"/>
      <c r="B42" s="56"/>
      <c r="C42" s="56"/>
      <c r="D42" s="56"/>
      <c r="E42" s="55"/>
      <c r="F42" s="55"/>
      <c r="G42" s="55"/>
      <c r="H42" s="55"/>
      <c r="I42" s="57"/>
      <c r="J42" s="57"/>
      <c r="K42" s="57"/>
      <c r="L42" s="57"/>
      <c r="M42" s="48"/>
      <c r="N42" s="48"/>
    </row>
    <row r="43" spans="1:15" ht="15" customHeight="1">
      <c r="A43" s="56"/>
      <c r="B43" s="56"/>
      <c r="C43" s="56"/>
      <c r="D43" s="56"/>
      <c r="E43" s="55"/>
      <c r="F43" s="55"/>
      <c r="G43" s="55"/>
      <c r="H43" s="55"/>
      <c r="I43" s="57"/>
      <c r="J43" s="57"/>
      <c r="K43" s="57"/>
      <c r="L43" s="57"/>
      <c r="M43" s="48"/>
      <c r="N43" s="48"/>
    </row>
    <row r="44" spans="1:15" ht="15" customHeight="1">
      <c r="A44" s="56"/>
      <c r="B44" s="56"/>
      <c r="C44" s="56"/>
      <c r="D44" s="56"/>
      <c r="E44" s="55"/>
      <c r="F44" s="55"/>
      <c r="G44" s="55"/>
      <c r="H44" s="55"/>
      <c r="I44" s="57"/>
      <c r="J44" s="57"/>
      <c r="K44" s="57"/>
      <c r="L44" s="57"/>
      <c r="M44" s="48"/>
      <c r="N44" s="48"/>
    </row>
    <row r="45" spans="1:15" ht="15" customHeight="1">
      <c r="A45" s="56"/>
      <c r="B45" s="56"/>
      <c r="C45" s="56"/>
      <c r="D45" s="56"/>
      <c r="E45" s="55"/>
      <c r="F45" s="55"/>
      <c r="G45" s="55"/>
      <c r="H45" s="55"/>
      <c r="I45" s="57"/>
      <c r="J45" s="57"/>
      <c r="K45" s="57"/>
      <c r="L45" s="57"/>
      <c r="M45" s="48"/>
      <c r="N45" s="48"/>
    </row>
    <row r="46" spans="1:15" ht="15" customHeight="1">
      <c r="A46" s="56"/>
      <c r="B46" s="56"/>
      <c r="C46" s="56"/>
      <c r="D46" s="56"/>
      <c r="E46" s="55"/>
      <c r="F46" s="55"/>
      <c r="G46" s="55"/>
      <c r="H46" s="55"/>
      <c r="I46" s="57"/>
      <c r="J46" s="57"/>
      <c r="K46" s="57"/>
      <c r="L46" s="57"/>
      <c r="M46" s="48"/>
      <c r="N46" s="48"/>
    </row>
    <row r="47" spans="1:15" ht="15" customHeight="1">
      <c r="A47" s="56"/>
      <c r="B47" s="56"/>
      <c r="C47" s="56"/>
      <c r="D47" s="56"/>
      <c r="E47" s="55"/>
      <c r="F47" s="55"/>
      <c r="G47" s="55"/>
      <c r="H47" s="55"/>
      <c r="I47" s="57"/>
      <c r="J47" s="57"/>
      <c r="K47" s="57"/>
      <c r="L47" s="57"/>
      <c r="M47" s="48"/>
      <c r="N47" s="48"/>
    </row>
    <row r="48" spans="1:15" ht="15" customHeight="1">
      <c r="A48" s="56"/>
      <c r="B48" s="56"/>
      <c r="C48" s="56"/>
      <c r="D48" s="56"/>
      <c r="E48" s="55"/>
      <c r="F48" s="55"/>
      <c r="G48" s="55"/>
      <c r="H48" s="55"/>
      <c r="I48" s="57"/>
      <c r="J48" s="57"/>
      <c r="K48" s="57"/>
      <c r="L48" s="57"/>
      <c r="M48" s="48"/>
      <c r="N48" s="48"/>
    </row>
    <row r="49" spans="1:14" ht="15" customHeight="1">
      <c r="A49" s="56"/>
      <c r="B49" s="56"/>
      <c r="C49" s="56"/>
      <c r="D49" s="56"/>
      <c r="E49" s="55"/>
      <c r="F49" s="55"/>
      <c r="G49" s="55"/>
      <c r="H49" s="55"/>
      <c r="I49" s="57"/>
      <c r="J49" s="57"/>
      <c r="K49" s="57"/>
      <c r="L49" s="57"/>
      <c r="M49" s="48"/>
      <c r="N49" s="48"/>
    </row>
    <row r="50" spans="1:14" ht="15" customHeight="1">
      <c r="A50" s="56"/>
      <c r="B50" s="56"/>
      <c r="C50" s="56"/>
      <c r="D50" s="56"/>
      <c r="E50" s="55"/>
      <c r="F50" s="55"/>
      <c r="G50" s="55"/>
      <c r="H50" s="55"/>
      <c r="I50" s="57"/>
      <c r="J50" s="57"/>
      <c r="K50" s="57"/>
      <c r="L50" s="57"/>
      <c r="M50" s="48"/>
      <c r="N50" s="48"/>
    </row>
    <row r="51" spans="1:14" ht="15" customHeight="1">
      <c r="A51" s="56"/>
      <c r="B51" s="56"/>
      <c r="C51" s="56"/>
      <c r="D51" s="56"/>
      <c r="E51" s="55"/>
      <c r="F51" s="55"/>
      <c r="G51" s="55"/>
      <c r="H51" s="55"/>
      <c r="I51" s="57"/>
      <c r="J51" s="57"/>
      <c r="K51" s="57"/>
      <c r="L51" s="57"/>
      <c r="M51" s="48"/>
      <c r="N51" s="48"/>
    </row>
    <row r="52" spans="1:14" ht="15" customHeight="1">
      <c r="A52" s="56"/>
      <c r="B52" s="56"/>
      <c r="C52" s="56"/>
      <c r="D52" s="56"/>
      <c r="E52" s="55"/>
      <c r="F52" s="55"/>
      <c r="G52" s="55"/>
      <c r="H52" s="55"/>
      <c r="I52" s="57"/>
      <c r="J52" s="57"/>
      <c r="K52" s="57"/>
      <c r="L52" s="57"/>
      <c r="M52" s="48"/>
      <c r="N52" s="48"/>
    </row>
    <row r="53" spans="1:14" ht="15" customHeight="1">
      <c r="A53" s="56"/>
      <c r="B53" s="56"/>
      <c r="C53" s="56"/>
      <c r="D53" s="56"/>
      <c r="E53" s="55"/>
      <c r="F53" s="55"/>
      <c r="G53" s="55"/>
      <c r="H53" s="55"/>
      <c r="I53" s="57"/>
      <c r="J53" s="57"/>
      <c r="K53" s="57"/>
      <c r="L53" s="57"/>
      <c r="M53" s="48"/>
      <c r="N53" s="48"/>
    </row>
    <row r="54" spans="1:14" ht="15" customHeight="1">
      <c r="A54" s="56"/>
      <c r="B54" s="56"/>
      <c r="C54" s="56"/>
      <c r="D54" s="56"/>
      <c r="E54" s="55"/>
      <c r="F54" s="55"/>
      <c r="G54" s="55"/>
      <c r="H54" s="55"/>
      <c r="I54" s="57"/>
      <c r="J54" s="57"/>
      <c r="K54" s="57"/>
      <c r="L54" s="57"/>
      <c r="M54" s="48"/>
      <c r="N54" s="48"/>
    </row>
    <row r="55" spans="1:14" ht="15" customHeight="1">
      <c r="A55" s="56"/>
      <c r="B55" s="56"/>
      <c r="C55" s="56"/>
      <c r="D55" s="56"/>
      <c r="E55" s="55"/>
      <c r="F55" s="55"/>
      <c r="G55" s="55"/>
      <c r="H55" s="55"/>
      <c r="I55" s="57"/>
      <c r="J55" s="57"/>
      <c r="K55" s="57"/>
      <c r="L55" s="57"/>
      <c r="M55" s="48"/>
      <c r="N55" s="48"/>
    </row>
    <row r="56" spans="1:14" ht="15" customHeight="1">
      <c r="A56" s="56"/>
      <c r="B56" s="56"/>
      <c r="C56" s="56"/>
      <c r="D56" s="56"/>
      <c r="E56" s="55"/>
      <c r="F56" s="55"/>
      <c r="G56" s="55"/>
      <c r="H56" s="55"/>
      <c r="I56" s="57"/>
      <c r="J56" s="57"/>
      <c r="K56" s="57"/>
      <c r="L56" s="57"/>
      <c r="M56" s="48"/>
      <c r="N56" s="48"/>
    </row>
    <row r="57" spans="1:14">
      <c r="B57" s="22"/>
      <c r="C57" s="22"/>
      <c r="D57" s="22"/>
      <c r="E57" s="22"/>
    </row>
    <row r="59" spans="1:14" ht="15" customHeight="1">
      <c r="A59" s="62" t="s">
        <v>195</v>
      </c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4"/>
      <c r="M59" s="37"/>
      <c r="N59" s="38"/>
    </row>
    <row r="60" spans="1:14" ht="15" customHeight="1">
      <c r="A60" s="65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7"/>
      <c r="M60" s="38"/>
      <c r="N60" s="38"/>
    </row>
    <row r="62" spans="1:14" ht="18.75">
      <c r="A62" s="137" t="s">
        <v>196</v>
      </c>
      <c r="B62" s="137"/>
      <c r="C62" s="138"/>
      <c r="D62" s="137" t="s">
        <v>197</v>
      </c>
      <c r="E62" s="137"/>
      <c r="F62" s="138"/>
      <c r="G62" s="137" t="s">
        <v>198</v>
      </c>
      <c r="H62" s="137"/>
      <c r="I62" s="138"/>
      <c r="J62" s="142" t="s">
        <v>138</v>
      </c>
      <c r="K62" s="142"/>
      <c r="L62" s="142"/>
    </row>
    <row r="63" spans="1:14" ht="31.5">
      <c r="A63" s="136">
        <f>'DuPont Analysis'!F8</f>
        <v>0.21261210874298386</v>
      </c>
      <c r="B63" s="136"/>
      <c r="C63" s="136"/>
      <c r="D63" s="139">
        <f>'Forecast &amp; Scenario'!E10</f>
        <v>70244.684999999998</v>
      </c>
      <c r="E63" s="140"/>
      <c r="F63" s="141"/>
      <c r="G63" s="140">
        <f>'Forecast &amp; Scenario'!E12</f>
        <v>12292.819874999999</v>
      </c>
      <c r="H63" s="140"/>
      <c r="I63" s="140"/>
      <c r="J63" s="143">
        <f>'Valuation Analysis'!B13</f>
        <v>532200</v>
      </c>
      <c r="K63" s="144"/>
      <c r="L63" s="144"/>
    </row>
    <row r="89" spans="1:12" ht="18.75" customHeight="1">
      <c r="A89" s="130" t="s">
        <v>199</v>
      </c>
      <c r="B89" s="131"/>
      <c r="C89" s="131"/>
      <c r="D89" s="131"/>
      <c r="E89" s="131"/>
      <c r="F89" s="131"/>
      <c r="G89" s="131"/>
      <c r="H89" s="131"/>
      <c r="I89" s="131"/>
      <c r="J89" s="131"/>
      <c r="K89" s="131"/>
      <c r="L89" s="132"/>
    </row>
    <row r="90" spans="1:12">
      <c r="A90" s="133"/>
      <c r="B90" s="134"/>
      <c r="C90" s="134"/>
      <c r="D90" s="134"/>
      <c r="E90" s="134"/>
      <c r="F90" s="134"/>
      <c r="G90" s="134"/>
      <c r="H90" s="134"/>
      <c r="I90" s="134"/>
      <c r="J90" s="134"/>
      <c r="K90" s="134"/>
      <c r="L90" s="135"/>
    </row>
    <row r="91" spans="1:12">
      <c r="A91" s="145" t="s">
        <v>200</v>
      </c>
      <c r="B91" s="146"/>
      <c r="C91" s="146"/>
      <c r="D91" s="146"/>
      <c r="E91" s="146"/>
      <c r="F91" s="146"/>
      <c r="G91" s="146"/>
      <c r="H91" s="146"/>
      <c r="I91" s="146"/>
      <c r="J91" s="146"/>
      <c r="K91" s="146"/>
      <c r="L91" s="147"/>
    </row>
    <row r="92" spans="1:12">
      <c r="A92" s="122"/>
      <c r="B92" s="123"/>
      <c r="C92" s="123"/>
      <c r="D92" s="123"/>
      <c r="E92" s="123"/>
      <c r="F92" s="123"/>
      <c r="G92" s="123"/>
      <c r="H92" s="123"/>
      <c r="I92" s="123"/>
      <c r="J92" s="123"/>
      <c r="K92" s="123"/>
      <c r="L92" s="124"/>
    </row>
    <row r="94" spans="1:12">
      <c r="A94" s="119" t="s">
        <v>201</v>
      </c>
      <c r="B94" s="120"/>
      <c r="C94" s="120"/>
      <c r="D94" s="120"/>
      <c r="E94" s="120"/>
      <c r="F94" s="120"/>
      <c r="G94" s="120"/>
      <c r="H94" s="120"/>
      <c r="I94" s="120"/>
      <c r="J94" s="120"/>
      <c r="K94" s="120"/>
      <c r="L94" s="121"/>
    </row>
    <row r="95" spans="1:12">
      <c r="A95" s="122"/>
      <c r="B95" s="123"/>
      <c r="C95" s="123"/>
      <c r="D95" s="123"/>
      <c r="E95" s="123"/>
      <c r="F95" s="123"/>
      <c r="G95" s="123"/>
      <c r="H95" s="123"/>
      <c r="I95" s="123"/>
      <c r="J95" s="123"/>
      <c r="K95" s="123"/>
      <c r="L95" s="124"/>
    </row>
    <row r="97" spans="1:12">
      <c r="A97" s="119" t="s">
        <v>202</v>
      </c>
      <c r="B97" s="125"/>
      <c r="C97" s="125"/>
      <c r="D97" s="125"/>
      <c r="E97" s="125"/>
      <c r="F97" s="125"/>
      <c r="G97" s="125"/>
      <c r="H97" s="125"/>
      <c r="I97" s="125"/>
      <c r="J97" s="125"/>
      <c r="K97" s="125"/>
      <c r="L97" s="126"/>
    </row>
    <row r="98" spans="1:12" ht="31.5" customHeight="1">
      <c r="A98" s="127"/>
      <c r="B98" s="128"/>
      <c r="C98" s="128"/>
      <c r="D98" s="128"/>
      <c r="E98" s="128"/>
      <c r="F98" s="128"/>
      <c r="G98" s="128"/>
      <c r="H98" s="128"/>
      <c r="I98" s="128"/>
      <c r="J98" s="128"/>
      <c r="K98" s="128"/>
      <c r="L98" s="129"/>
    </row>
  </sheetData>
  <mergeCells count="34">
    <mergeCell ref="A1:L1"/>
    <mergeCell ref="A2:L2"/>
    <mergeCell ref="G4:I4"/>
    <mergeCell ref="J4:L4"/>
    <mergeCell ref="D4:F4"/>
    <mergeCell ref="A4:C4"/>
    <mergeCell ref="A94:L95"/>
    <mergeCell ref="A97:L98"/>
    <mergeCell ref="A89:L90"/>
    <mergeCell ref="A63:C63"/>
    <mergeCell ref="A62:C62"/>
    <mergeCell ref="D62:F62"/>
    <mergeCell ref="D63:F63"/>
    <mergeCell ref="G62:I62"/>
    <mergeCell ref="G63:I63"/>
    <mergeCell ref="J62:L62"/>
    <mergeCell ref="J63:L63"/>
    <mergeCell ref="A91:L92"/>
    <mergeCell ref="O4:Q4"/>
    <mergeCell ref="R4:T4"/>
    <mergeCell ref="U4:W4"/>
    <mergeCell ref="X4:Z4"/>
    <mergeCell ref="A59:L60"/>
    <mergeCell ref="A5:C6"/>
    <mergeCell ref="D5:F6"/>
    <mergeCell ref="G5:I6"/>
    <mergeCell ref="J5:L6"/>
    <mergeCell ref="A34:L35"/>
    <mergeCell ref="I36:L36"/>
    <mergeCell ref="I37:L39"/>
    <mergeCell ref="E36:H36"/>
    <mergeCell ref="E37:H39"/>
    <mergeCell ref="A36:D36"/>
    <mergeCell ref="A37:D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2026-08-20T05:37:00Z</dcterms:created>
  <dcterms:modified xsi:type="dcterms:W3CDTF">2026-08-25T02:48:05Z</dcterms:modified>
  <cp:category/>
  <cp:contentStatus/>
</cp:coreProperties>
</file>