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1053" documentId="11_E60897F41BE170836B02CE998F75CCDC64E183C8" xr6:coauthVersionLast="47" xr6:coauthVersionMax="47" xr10:uidLastSave="{2228B21D-B328-4B47-92C4-C030F580A5DF}"/>
  <bookViews>
    <workbookView xWindow="240" yWindow="105" windowWidth="14805" windowHeight="8010" firstSheet="4" activeTab="3" xr2:uid="{00000000-000D-0000-FFFF-FFFF00000000}"/>
  </bookViews>
  <sheets>
    <sheet name="ReadMe" sheetId="2" r:id="rId1"/>
    <sheet name="Raw Data" sheetId="1" r:id="rId2"/>
    <sheet name="Ratios" sheetId="3" r:id="rId3"/>
    <sheet name="Dashboard" sheetId="4" r:id="rId4"/>
    <sheet name="Insights" sheetId="5" r:id="rId5"/>
  </sheets>
  <definedNames>
    <definedName name="_xlnm._FilterDatabase" localSheetId="2" hidden="1">Ratios!$C$4:$F$4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4" l="1"/>
  <c r="H5" i="4"/>
  <c r="E5" i="4"/>
  <c r="B5" i="4"/>
  <c r="B29" i="3"/>
  <c r="B28" i="3"/>
  <c r="B27" i="3"/>
  <c r="C25" i="3"/>
  <c r="D25" i="3"/>
  <c r="E25" i="3"/>
  <c r="F25" i="3"/>
  <c r="B25" i="3"/>
  <c r="C24" i="3"/>
  <c r="D24" i="3"/>
  <c r="E24" i="3"/>
  <c r="F24" i="3"/>
  <c r="B24" i="3"/>
  <c r="C23" i="3"/>
  <c r="D23" i="3"/>
  <c r="E23" i="3"/>
  <c r="F23" i="3"/>
  <c r="B23" i="3"/>
  <c r="C22" i="3"/>
  <c r="D22" i="3"/>
  <c r="E22" i="3"/>
  <c r="F22" i="3"/>
  <c r="B22" i="3"/>
  <c r="C14" i="3"/>
  <c r="C15" i="3" s="1"/>
  <c r="D14" i="3"/>
  <c r="D15" i="3" s="1"/>
  <c r="E14" i="3"/>
  <c r="E15" i="3" s="1"/>
  <c r="F14" i="3"/>
  <c r="F15" i="3" s="1"/>
  <c r="B14" i="3"/>
  <c r="B15" i="3" s="1"/>
  <c r="D12" i="3"/>
  <c r="E12" i="3"/>
  <c r="F12" i="3"/>
  <c r="C12" i="3"/>
  <c r="C11" i="3"/>
  <c r="D11" i="3"/>
  <c r="E11" i="3"/>
  <c r="F11" i="3"/>
  <c r="B11" i="3"/>
  <c r="C9" i="3"/>
  <c r="D9" i="3"/>
  <c r="E9" i="3"/>
  <c r="F9" i="3"/>
  <c r="B9" i="3"/>
  <c r="C8" i="3"/>
  <c r="D8" i="3"/>
  <c r="E8" i="3"/>
  <c r="F8" i="3"/>
  <c r="B8" i="3"/>
  <c r="D6" i="3"/>
  <c r="E6" i="3"/>
  <c r="F6" i="3"/>
  <c r="C6" i="3"/>
  <c r="D5" i="3"/>
  <c r="E5" i="3"/>
  <c r="F5" i="3"/>
  <c r="C5" i="3"/>
  <c r="D4" i="3"/>
  <c r="E4" i="3"/>
  <c r="F4" i="3"/>
  <c r="C4" i="3"/>
</calcChain>
</file>

<file path=xl/sharedStrings.xml><?xml version="1.0" encoding="utf-8"?>
<sst xmlns="http://schemas.openxmlformats.org/spreadsheetml/2006/main" count="144" uniqueCount="124">
  <si>
    <t>Hindustan Unilever Limited – Financial Analysis Dashboard</t>
  </si>
  <si>
    <t>Company</t>
  </si>
  <si>
    <t>Hindustan Unilever Limited (HUL)</t>
  </si>
  <si>
    <t>Analysis Period</t>
  </si>
  <si>
    <t>FY2020-21 to FY2024-25</t>
  </si>
  <si>
    <t>Financial Basis</t>
  </si>
  <si>
    <t>Standalone Financial Statements</t>
  </si>
  <si>
    <t>Currency</t>
  </si>
  <si>
    <t>₹ Crore</t>
  </si>
  <si>
    <t>Tool</t>
  </si>
  <si>
    <t>Microsoft Excel</t>
  </si>
  <si>
    <t>Data Sources</t>
  </si>
  <si>
    <t>HUL Annual Reports &amp; Historical Financial Performance</t>
  </si>
  <si>
    <t>Purpose</t>
  </si>
  <si>
    <t>Analyse HUL's growth, profitability, returns, leverage and working-capital efficiency</t>
  </si>
  <si>
    <t>Methodology Section</t>
  </si>
  <si>
    <t>Key Metrics Section</t>
  </si>
  <si>
    <t>• Revenue, EBITDA and PAT growth calculated using YoY growth rates.</t>
  </si>
  <si>
    <t>Revenue Growth</t>
  </si>
  <si>
    <t>• EBITDA Margin = EBITDA / Revenue.</t>
  </si>
  <si>
    <t>EBITDA Growth</t>
  </si>
  <si>
    <t>• PAT Margin = PAT / Revenue.</t>
  </si>
  <si>
    <t>PAT Growth</t>
  </si>
  <si>
    <t>• ROE = PAT / Average Shareholders' Equity.</t>
  </si>
  <si>
    <t>EBITDA &amp; PAT Margin</t>
  </si>
  <si>
    <t>• Net Working Capital = Current Assets - Current Liabilities.</t>
  </si>
  <si>
    <t>ROE &amp; ROCE</t>
  </si>
  <si>
    <t>• Debt-to-Equity uses lease liabilities as HUL has no conventional borrowings.</t>
  </si>
  <si>
    <t>Debt-to-Equity</t>
  </si>
  <si>
    <t>• ROCE uses HUL's reported methodology.</t>
  </si>
  <si>
    <t>Net Working Capital</t>
  </si>
  <si>
    <t>Working Capital Days</t>
  </si>
  <si>
    <t>Assumptions / Notes</t>
  </si>
  <si>
    <t>Cash Conversion Cycle</t>
  </si>
  <si>
    <t>FY2020-21 is the starting year of the analysis. Therefore, YoY growth and average-equity based ROE requiring earlier-year information are not calculated where prior-year data falls outside the selected period.</t>
  </si>
  <si>
    <t>Revenue / EBITDA / PAT CAGR</t>
  </si>
  <si>
    <t>HUL Financial Analysis – Raw Data</t>
  </si>
  <si>
    <t>Particulars (₹ Cr)</t>
  </si>
  <si>
    <t>Fy 2020-21</t>
  </si>
  <si>
    <t>Fy 2021-22</t>
  </si>
  <si>
    <t>Fy 2022-23</t>
  </si>
  <si>
    <t>Fy 2023-24</t>
  </si>
  <si>
    <t>Fy 2024-25</t>
  </si>
  <si>
    <t>SOURCE</t>
  </si>
  <si>
    <t>Turnover</t>
  </si>
  <si>
    <t>HUL Historical Data</t>
  </si>
  <si>
    <t>EBITDA</t>
  </si>
  <si>
    <t>PAT</t>
  </si>
  <si>
    <t>Cash From Operations</t>
  </si>
  <si>
    <t>Total Assets</t>
  </si>
  <si>
    <t xml:space="preserve">HUL Annual Report </t>
  </si>
  <si>
    <t>Total Equity</t>
  </si>
  <si>
    <t>Current Assets</t>
  </si>
  <si>
    <t xml:space="preserve">Current Liabilities </t>
  </si>
  <si>
    <t>Inventory</t>
  </si>
  <si>
    <t>Trade Receivables</t>
  </si>
  <si>
    <t>Trade Payables</t>
  </si>
  <si>
    <t>Cash &amp; Cash Equivalents</t>
  </si>
  <si>
    <t>Non-current Lease Liability</t>
  </si>
  <si>
    <t xml:space="preserve">Current Lease Liability </t>
  </si>
  <si>
    <t>HUL Financial Ratio Analysis</t>
  </si>
  <si>
    <t>Particulars</t>
  </si>
  <si>
    <t>FY2020-21</t>
  </si>
  <si>
    <t>FY2021-22</t>
  </si>
  <si>
    <t>FY2022-23</t>
  </si>
  <si>
    <t>FY2023-24</t>
  </si>
  <si>
    <t>FY2024-25</t>
  </si>
  <si>
    <t>Revenue YoY Growth</t>
  </si>
  <si>
    <t>N\A</t>
  </si>
  <si>
    <t>EBITDA YoY Growth</t>
  </si>
  <si>
    <t>PAT YoY Growth</t>
  </si>
  <si>
    <t>EBITDA Margin</t>
  </si>
  <si>
    <t>PAT Margin</t>
  </si>
  <si>
    <t>ROE</t>
  </si>
  <si>
    <t>Lease Liabilities</t>
  </si>
  <si>
    <t>Debt to Equity</t>
  </si>
  <si>
    <t>ROCE (Reported)</t>
  </si>
  <si>
    <t>Inventory Turnover</t>
  </si>
  <si>
    <t>Receivable Turnover</t>
  </si>
  <si>
    <t>Payable Turnover</t>
  </si>
  <si>
    <t>Inventory Days</t>
  </si>
  <si>
    <t>Receivable Days</t>
  </si>
  <si>
    <t>payable Days</t>
  </si>
  <si>
    <t>Revenue CAGR</t>
  </si>
  <si>
    <t>EBITDA CAGR</t>
  </si>
  <si>
    <t>PAT CAGR</t>
  </si>
  <si>
    <t>Hindustan Unilever Limited</t>
  </si>
  <si>
    <t>5-Year Financial Performance Dashboard | FY2020-21 to FY2024-25</t>
  </si>
  <si>
    <t>Revenue</t>
  </si>
  <si>
    <t>ROCE</t>
  </si>
  <si>
    <t>Key Takeways</t>
  </si>
  <si>
    <t>Growth</t>
  </si>
  <si>
    <t>Profitability</t>
  </si>
  <si>
    <t>Efficiency</t>
  </si>
  <si>
    <t>Revenue CAGR: 7.57%
FY25 revenue growth slowed to 1.85%</t>
  </si>
  <si>
    <r>
      <rPr>
        <b/>
        <sz val="12"/>
        <color rgb="FF000000"/>
        <rFont val="Calibri"/>
        <scheme val="minor"/>
      </rPr>
      <t>FY25 EBITDA Margin: 23.55%
Margin declined from ~25.0% in FY21</t>
    </r>
    <r>
      <rPr>
        <sz val="12"/>
        <color rgb="FF000000"/>
        <rFont val="Calibri"/>
        <scheme val="minor"/>
      </rPr>
      <t>.</t>
    </r>
  </si>
  <si>
    <t>FY25 CCC: -40.5 Days
Negative CCC reflects strong working-capital efficiency.</t>
  </si>
  <si>
    <t>HUL Financial Analysis – Key Insights</t>
  </si>
  <si>
    <t>Theme</t>
  </si>
  <si>
    <t>Observation</t>
  </si>
  <si>
    <t>Evidence</t>
  </si>
  <si>
    <t>Business Interpretation</t>
  </si>
  <si>
    <t>Revenue grew steadily over the 5-year period, but recent growth has slowed.</t>
  </si>
  <si>
    <r>
      <t xml:space="preserve">Revenue CAGR </t>
    </r>
    <r>
      <rPr>
        <b/>
        <sz val="11"/>
        <color theme="1"/>
        <rFont val="Calibri"/>
        <family val="2"/>
        <scheme val="minor"/>
      </rPr>
      <t>7.57%</t>
    </r>
    <r>
      <rPr>
        <sz val="11"/>
        <color theme="1"/>
        <rFont val="Calibri"/>
        <family val="2"/>
        <scheme val="minor"/>
      </rPr>
      <t xml:space="preserve">; FY25 YoY growth only </t>
    </r>
    <r>
      <rPr>
        <b/>
        <sz val="11"/>
        <color theme="1"/>
        <rFont val="Calibri"/>
        <family val="2"/>
        <scheme val="minor"/>
      </rPr>
      <t>1.85%</t>
    </r>
    <r>
      <rPr>
        <sz val="11"/>
        <color theme="1"/>
        <rFont val="Calibri"/>
        <family val="2"/>
        <scheme val="minor"/>
      </rPr>
      <t>.</t>
    </r>
  </si>
  <si>
    <t>HUL has delivered long-term growth, but near-term topline momentum has moderated.</t>
  </si>
  <si>
    <t>EBITDA growth lagged revenue growth over the period.</t>
  </si>
  <si>
    <r>
      <t xml:space="preserve">Revenue CAGR </t>
    </r>
    <r>
      <rPr>
        <b/>
        <sz val="11"/>
        <color theme="1"/>
        <rFont val="Calibri"/>
        <family val="2"/>
        <scheme val="minor"/>
      </rPr>
      <t>7.57%</t>
    </r>
    <r>
      <rPr>
        <sz val="11"/>
        <color theme="1"/>
        <rFont val="Calibri"/>
        <family val="2"/>
        <scheme val="minor"/>
      </rPr>
      <t xml:space="preserve"> vs EBITDA CAGR </t>
    </r>
    <r>
      <rPr>
        <b/>
        <sz val="11"/>
        <color theme="1"/>
        <rFont val="Calibri"/>
        <family val="2"/>
        <scheme val="minor"/>
      </rPr>
      <t>5.99%</t>
    </r>
    <r>
      <rPr>
        <sz val="11"/>
        <color theme="1"/>
        <rFont val="Calibri"/>
        <family val="2"/>
        <scheme val="minor"/>
      </rPr>
      <t xml:space="preserve">; EBITDA margin fell from about </t>
    </r>
    <r>
      <rPr>
        <b/>
        <sz val="11"/>
        <color theme="1"/>
        <rFont val="Calibri"/>
        <family val="2"/>
        <scheme val="minor"/>
      </rPr>
      <t>25.0% to 23.5%</t>
    </r>
    <r>
      <rPr>
        <sz val="11"/>
        <color theme="1"/>
        <rFont val="Calibri"/>
        <family val="2"/>
        <scheme val="minor"/>
      </rPr>
      <t>.</t>
    </r>
  </si>
  <si>
    <t>This indicates some operating margin pressure despite revenue expansion.</t>
  </si>
  <si>
    <t>Net Profit</t>
  </si>
  <si>
    <t>PAT remained comparatively resilient.</t>
  </si>
  <si>
    <r>
      <t xml:space="preserve">PAT CAGR </t>
    </r>
    <r>
      <rPr>
        <b/>
        <sz val="11"/>
        <color theme="1"/>
        <rFont val="Calibri"/>
        <family val="2"/>
        <scheme val="minor"/>
      </rPr>
      <t>7.55%</t>
    </r>
    <r>
      <rPr>
        <sz val="11"/>
        <color theme="1"/>
        <rFont val="Calibri"/>
        <family val="2"/>
        <scheme val="minor"/>
      </rPr>
      <t xml:space="preserve"> and PAT margin improved from </t>
    </r>
    <r>
      <rPr>
        <b/>
        <sz val="11"/>
        <color theme="1"/>
        <rFont val="Calibri"/>
        <family val="2"/>
        <scheme val="minor"/>
      </rPr>
      <t>16.98% in FY24 to 17.54% in FY25</t>
    </r>
    <r>
      <rPr>
        <sz val="11"/>
        <color theme="1"/>
        <rFont val="Calibri"/>
        <family val="2"/>
        <scheme val="minor"/>
      </rPr>
      <t>.</t>
    </r>
  </si>
  <si>
    <t>Bottom-line profitability recovered even though operating margin remained under pressure.</t>
  </si>
  <si>
    <t>Return on Capital</t>
  </si>
  <si>
    <t>ROCE weakened until FY24 but recovered strongly in FY25</t>
  </si>
  <si>
    <r>
      <t xml:space="preserve">ROCE: </t>
    </r>
    <r>
      <rPr>
        <b/>
        <sz val="11"/>
        <color theme="1"/>
        <rFont val="Calibri"/>
        <family val="2"/>
        <scheme val="minor"/>
      </rPr>
      <t>113.0% → 107.8% → 101.9% → 96.3% → 108.2%</t>
    </r>
    <r>
      <rPr>
        <sz val="11"/>
        <color theme="1"/>
        <rFont val="Calibri"/>
        <family val="2"/>
        <scheme val="minor"/>
      </rPr>
      <t>.</t>
    </r>
  </si>
  <si>
    <t>Capital efficiency remains very strong, with a notable recovery in the latest year.</t>
  </si>
  <si>
    <t>Working Capital</t>
  </si>
  <si>
    <t>HUL maintained a negative cash conversion cycle.</t>
  </si>
  <si>
    <r>
      <t xml:space="preserve">CCC remained negative; FY25 approximately </t>
    </r>
    <r>
      <rPr>
        <b/>
        <sz val="11"/>
        <color theme="1"/>
        <rFont val="Calibri"/>
        <family val="2"/>
        <scheme val="minor"/>
      </rPr>
      <t>-40.5 days</t>
    </r>
    <r>
      <rPr>
        <sz val="11"/>
        <color theme="1"/>
        <rFont val="Calibri"/>
        <family val="2"/>
        <scheme val="minor"/>
      </rPr>
      <t>.</t>
    </r>
  </si>
  <si>
    <t>A negative CCC indicates that HUL generally converts its operating cycle into cash before supplier payments become due, supporting efficient working-capital management.</t>
  </si>
  <si>
    <t>Leverage</t>
  </si>
  <si>
    <t>HUL operates with very low financial leverage.</t>
  </si>
  <si>
    <t>No conventional borrowings; Debt/Equity approximately 0.03x in FY25 using lease liabilities.</t>
  </si>
  <si>
    <t>Low leverage reduces financing risk and gives HUL a conservative balance-sheet position.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</si>
</sst>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[$₹-446]\ #,##0.00"/>
    <numFmt numFmtId="167" formatCode="[$₹-446]\ #,##0"/>
    <numFmt numFmtId="168" formatCode="0.00&quot;x&quot;"/>
  </numFmts>
  <fonts count="16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scheme val="major"/>
    </font>
    <font>
      <b/>
      <sz val="12"/>
      <color theme="1"/>
      <name val="Calibri Light"/>
      <scheme val="major"/>
    </font>
    <font>
      <b/>
      <sz val="12"/>
      <color rgb="FF000000"/>
      <name val="Calibri Light"/>
      <scheme val="major"/>
    </font>
    <font>
      <b/>
      <sz val="14"/>
      <color rgb="FF000000"/>
      <name val="Calibri"/>
      <scheme val="minor"/>
    </font>
    <font>
      <b/>
      <sz val="11"/>
      <color rgb="FF000000"/>
      <name val="Calibri Light"/>
      <scheme val="major"/>
    </font>
    <font>
      <b/>
      <sz val="16"/>
      <color rgb="FF161616"/>
      <name val="Calibri Light"/>
      <scheme val="major"/>
    </font>
    <font>
      <b/>
      <sz val="14"/>
      <color theme="1"/>
      <name val="Calibri"/>
      <family val="2"/>
      <scheme val="minor"/>
    </font>
    <font>
      <b/>
      <i/>
      <sz val="14"/>
      <color rgb="FF000000"/>
      <name val="Calibri Light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sz val="12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  <border>
      <left/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/>
      <top/>
      <bottom style="medium">
        <color theme="5" tint="-0.499984740745262"/>
      </bottom>
      <diagonal/>
    </border>
    <border>
      <left/>
      <right/>
      <top/>
      <bottom style="medium">
        <color theme="5" tint="-0.499984740745262"/>
      </bottom>
      <diagonal/>
    </border>
    <border>
      <left/>
      <right style="medium">
        <color theme="5" tint="-0.499984740745262"/>
      </right>
      <top/>
      <bottom style="medium">
        <color theme="5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/>
      <top/>
      <bottom/>
      <diagonal/>
    </border>
    <border>
      <left/>
      <right style="medium">
        <color theme="1" tint="4.9989318521683403E-2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FFFF00"/>
      </left>
      <right/>
      <top style="medium">
        <color rgb="FFFFFF00"/>
      </top>
      <bottom style="medium">
        <color rgb="FFFFFF00"/>
      </bottom>
      <diagonal/>
    </border>
    <border>
      <left/>
      <right/>
      <top style="medium">
        <color rgb="FFFFFF00"/>
      </top>
      <bottom style="medium">
        <color rgb="FFFFFF00"/>
      </bottom>
      <diagonal/>
    </border>
    <border>
      <left style="medium">
        <color rgb="FF92D050"/>
      </left>
      <right/>
      <top style="medium">
        <color rgb="FF92D050"/>
      </top>
      <bottom/>
      <diagonal/>
    </border>
    <border>
      <left/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/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wrapText="1"/>
    </xf>
    <xf numFmtId="0" fontId="5" fillId="0" borderId="0" xfId="0" applyFont="1"/>
    <xf numFmtId="0" fontId="4" fillId="0" borderId="0" xfId="0" applyFont="1"/>
    <xf numFmtId="3" fontId="2" fillId="0" borderId="0" xfId="0" applyNumberFormat="1" applyFont="1"/>
    <xf numFmtId="3" fontId="0" fillId="0" borderId="0" xfId="0" applyNumberFormat="1" applyFont="1"/>
    <xf numFmtId="0" fontId="0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7" fillId="0" borderId="0" xfId="0" applyFont="1"/>
    <xf numFmtId="164" fontId="0" fillId="0" borderId="0" xfId="0" applyNumberFormat="1" applyFont="1"/>
    <xf numFmtId="164" fontId="0" fillId="0" borderId="0" xfId="0" applyNumberFormat="1"/>
    <xf numFmtId="165" fontId="0" fillId="0" borderId="0" xfId="0" applyNumberFormat="1"/>
    <xf numFmtId="10" fontId="0" fillId="0" borderId="0" xfId="0" quotePrefix="1" applyNumberFormat="1"/>
    <xf numFmtId="0" fontId="0" fillId="0" borderId="0" xfId="0" applyBorder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4" borderId="8" xfId="0" applyFont="1" applyFill="1" applyBorder="1"/>
    <xf numFmtId="166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8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indent="1"/>
    </xf>
    <xf numFmtId="0" fontId="0" fillId="3" borderId="3" xfId="0" applyFill="1" applyBorder="1" applyAlignment="1">
      <alignment horizontal="center" vertical="center" indent="1"/>
    </xf>
    <xf numFmtId="0" fontId="0" fillId="3" borderId="4" xfId="0" applyFill="1" applyBorder="1" applyAlignment="1">
      <alignment horizontal="center" vertical="center" indent="1"/>
    </xf>
    <xf numFmtId="0" fontId="0" fillId="3" borderId="5" xfId="0" applyFill="1" applyBorder="1" applyAlignment="1">
      <alignment horizontal="center" vertical="center" indent="1"/>
    </xf>
    <xf numFmtId="0" fontId="0" fillId="3" borderId="6" xfId="0" applyFill="1" applyBorder="1" applyAlignment="1">
      <alignment horizontal="center" vertical="center" indent="1"/>
    </xf>
    <xf numFmtId="0" fontId="0" fillId="3" borderId="7" xfId="0" applyFill="1" applyBorder="1" applyAlignment="1">
      <alignment horizontal="center" vertical="center" inden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4" fillId="0" borderId="0" xfId="0" applyNumberFormat="1" applyFont="1"/>
    <xf numFmtId="2" fontId="3" fillId="0" borderId="0" xfId="0" applyNumberFormat="1" applyFont="1"/>
    <xf numFmtId="168" fontId="0" fillId="0" borderId="0" xfId="0" applyNumberFormat="1" applyAlignment="1"/>
    <xf numFmtId="168" fontId="0" fillId="0" borderId="0" xfId="0" applyNumberFormat="1"/>
    <xf numFmtId="0" fontId="13" fillId="7" borderId="22" xfId="0" applyFont="1" applyFill="1" applyBorder="1" applyAlignment="1">
      <alignment horizontal="center" vertical="top" wrapText="1"/>
    </xf>
    <xf numFmtId="0" fontId="13" fillId="7" borderId="23" xfId="0" applyFont="1" applyFill="1" applyBorder="1" applyAlignment="1">
      <alignment horizontal="center" vertical="top" wrapText="1"/>
    </xf>
    <xf numFmtId="0" fontId="11" fillId="6" borderId="24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1" fillId="6" borderId="26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11" fillId="4" borderId="0" xfId="0" applyFont="1" applyFill="1" applyBorder="1" applyAlignment="1"/>
    <xf numFmtId="0" fontId="0" fillId="8" borderId="37" xfId="0" applyFill="1" applyBorder="1" applyAlignment="1">
      <alignment horizontal="center"/>
    </xf>
    <xf numFmtId="3" fontId="11" fillId="8" borderId="10" xfId="0" applyNumberFormat="1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  <xf numFmtId="0" fontId="13" fillId="8" borderId="19" xfId="0" applyFon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67" fontId="11" fillId="8" borderId="12" xfId="0" applyNumberFormat="1" applyFont="1" applyFill="1" applyBorder="1" applyAlignment="1">
      <alignment horizontal="right" vertical="center" wrapText="1" indent="7"/>
    </xf>
    <xf numFmtId="10" fontId="11" fillId="8" borderId="11" xfId="0" applyNumberFormat="1" applyFont="1" applyFill="1" applyBorder="1" applyAlignment="1">
      <alignment horizontal="center" vertical="center"/>
    </xf>
    <xf numFmtId="10" fontId="11" fillId="8" borderId="12" xfId="0" applyNumberFormat="1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10" fontId="11" fillId="8" borderId="13" xfId="0" applyNumberFormat="1" applyFont="1" applyFill="1" applyBorder="1" applyAlignment="1">
      <alignment horizontal="center" vertical="center"/>
    </xf>
    <xf numFmtId="0" fontId="0" fillId="8" borderId="38" xfId="0" applyFill="1" applyBorder="1" applyAlignment="1">
      <alignment horizontal="center"/>
    </xf>
    <xf numFmtId="167" fontId="11" fillId="8" borderId="15" xfId="0" applyNumberFormat="1" applyFont="1" applyFill="1" applyBorder="1" applyAlignment="1">
      <alignment horizontal="right" vertical="center" wrapText="1" indent="7"/>
    </xf>
    <xf numFmtId="10" fontId="11" fillId="8" borderId="14" xfId="0" applyNumberFormat="1" applyFont="1" applyFill="1" applyBorder="1" applyAlignment="1">
      <alignment horizontal="center" vertical="center"/>
    </xf>
    <xf numFmtId="10" fontId="11" fillId="8" borderId="15" xfId="0" applyNumberFormat="1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10" fontId="11" fillId="8" borderId="16" xfId="0" applyNumberFormat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33" xfId="0" applyFont="1" applyFill="1" applyBorder="1" applyAlignment="1">
      <alignment horizontal="center" vertical="center"/>
    </xf>
    <xf numFmtId="0" fontId="9" fillId="8" borderId="34" xfId="0" applyFont="1" applyFill="1" applyBorder="1" applyAlignment="1">
      <alignment horizontal="center" vertical="center"/>
    </xf>
    <xf numFmtId="0" fontId="9" fillId="8" borderId="35" xfId="0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/>
    </xf>
    <xf numFmtId="0" fontId="0" fillId="8" borderId="34" xfId="0" applyFill="1" applyBorder="1"/>
    <xf numFmtId="0" fontId="6" fillId="8" borderId="34" xfId="0" applyFont="1" applyFill="1" applyBorder="1" applyAlignment="1">
      <alignment horizontal="center" wrapText="1"/>
    </xf>
    <xf numFmtId="0" fontId="6" fillId="8" borderId="35" xfId="0" applyFont="1" applyFill="1" applyBorder="1" applyAlignment="1">
      <alignment horizontal="center" wrapText="1"/>
    </xf>
    <xf numFmtId="0" fontId="9" fillId="8" borderId="34" xfId="0" applyFont="1" applyFill="1" applyBorder="1" applyAlignment="1">
      <alignment horizontal="center"/>
    </xf>
    <xf numFmtId="0" fontId="9" fillId="8" borderId="35" xfId="0" applyFont="1" applyFill="1" applyBorder="1" applyAlignment="1">
      <alignment horizontal="center"/>
    </xf>
    <xf numFmtId="0" fontId="9" fillId="8" borderId="36" xfId="0" applyFont="1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0" fontId="14" fillId="8" borderId="0" xfId="0" applyFont="1" applyFill="1" applyBorder="1" applyAlignment="1">
      <alignment horizontal="center" vertical="top" wrapText="1"/>
    </xf>
    <xf numFmtId="0" fontId="0" fillId="8" borderId="0" xfId="0" applyFill="1" applyBorder="1" applyAlignment="1">
      <alignment horizontal="center" vertical="top" wrapText="1"/>
    </xf>
    <xf numFmtId="0" fontId="15" fillId="8" borderId="17" xfId="0" applyFont="1" applyFill="1" applyBorder="1" applyAlignment="1">
      <alignment horizontal="center" wrapText="1"/>
    </xf>
    <xf numFmtId="0" fontId="12" fillId="8" borderId="0" xfId="0" applyFont="1" applyFill="1" applyBorder="1" applyAlignment="1">
      <alignment horizontal="center"/>
    </xf>
    <xf numFmtId="0" fontId="11" fillId="8" borderId="17" xfId="0" applyFont="1" applyFill="1" applyBorder="1" applyAlignment="1">
      <alignment horizontal="center" wrapText="1"/>
    </xf>
    <xf numFmtId="0" fontId="11" fillId="8" borderId="0" xfId="0" applyFont="1" applyFill="1" applyBorder="1" applyAlignment="1">
      <alignment horizontal="center"/>
    </xf>
    <xf numFmtId="0" fontId="11" fillId="8" borderId="18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11" fillId="8" borderId="17" xfId="0" applyFont="1" applyFill="1" applyBorder="1" applyAlignment="1">
      <alignment horizontal="center"/>
    </xf>
    <xf numFmtId="0" fontId="0" fillId="8" borderId="15" xfId="0" applyFill="1" applyBorder="1" applyAlignment="1">
      <alignment horizontal="center" vertical="top" wrapText="1"/>
    </xf>
    <xf numFmtId="0" fontId="12" fillId="8" borderId="14" xfId="0" applyFont="1" applyFill="1" applyBorder="1" applyAlignment="1">
      <alignment horizontal="center"/>
    </xf>
    <xf numFmtId="0" fontId="12" fillId="8" borderId="15" xfId="0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0" fontId="11" fillId="8" borderId="15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Revenue, EBITDA &amp; PAT Trend (₹ Cr)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Data'!$A$4</c:f>
              <c:strCache>
                <c:ptCount val="1"/>
                <c:pt idx="0">
                  <c:v>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'Raw Data'!$B$3:$F$3</c:f>
              <c:strCache>
                <c:ptCount val="5"/>
                <c:pt idx="0">
                  <c:v>Fy 2020-21</c:v>
                </c:pt>
                <c:pt idx="1">
                  <c:v>Fy 2021-22</c:v>
                </c:pt>
                <c:pt idx="2">
                  <c:v>Fy 2022-23</c:v>
                </c:pt>
                <c:pt idx="3">
                  <c:v>Fy 2023-24</c:v>
                </c:pt>
                <c:pt idx="4">
                  <c:v>Fy 2024-25</c:v>
                </c:pt>
              </c:strCache>
            </c:strRef>
          </c:cat>
          <c:val>
            <c:numRef>
              <c:f>'Raw Data'!$B$4:$F$4</c:f>
              <c:numCache>
                <c:formatCode>#,##0</c:formatCode>
                <c:ptCount val="5"/>
                <c:pt idx="0">
                  <c:v>45311</c:v>
                </c:pt>
                <c:pt idx="1">
                  <c:v>50336</c:v>
                </c:pt>
                <c:pt idx="2">
                  <c:v>58154</c:v>
                </c:pt>
                <c:pt idx="3">
                  <c:v>59579</c:v>
                </c:pt>
                <c:pt idx="4">
                  <c:v>60680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D-416E-94FA-7DCDE5B9694D}"/>
            </c:ext>
          </c:extLst>
        </c:ser>
        <c:ser>
          <c:idx val="1"/>
          <c:order val="1"/>
          <c:tx>
            <c:strRef>
              <c:f>'Raw Data'!$A$5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'Raw Data'!$B$3:$F$3</c:f>
              <c:strCache>
                <c:ptCount val="5"/>
                <c:pt idx="0">
                  <c:v>Fy 2020-21</c:v>
                </c:pt>
                <c:pt idx="1">
                  <c:v>Fy 2021-22</c:v>
                </c:pt>
                <c:pt idx="2">
                  <c:v>Fy 2022-23</c:v>
                </c:pt>
                <c:pt idx="3">
                  <c:v>Fy 2023-24</c:v>
                </c:pt>
                <c:pt idx="4">
                  <c:v>Fy 2024-25</c:v>
                </c:pt>
              </c:strCache>
            </c:strRef>
          </c:cat>
          <c:val>
            <c:numRef>
              <c:f>'Raw Data'!$B$5:$F$5</c:f>
              <c:numCache>
                <c:formatCode>#,##0</c:formatCode>
                <c:ptCount val="5"/>
                <c:pt idx="0">
                  <c:v>11324</c:v>
                </c:pt>
                <c:pt idx="1">
                  <c:v>12503</c:v>
                </c:pt>
                <c:pt idx="2">
                  <c:v>13632</c:v>
                </c:pt>
                <c:pt idx="3">
                  <c:v>14190</c:v>
                </c:pt>
                <c:pt idx="4">
                  <c:v>14289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D-416E-94FA-7DCDE5B9694D}"/>
            </c:ext>
          </c:extLst>
        </c:ser>
        <c:ser>
          <c:idx val="2"/>
          <c:order val="2"/>
          <c:tx>
            <c:strRef>
              <c:f>'Raw Data'!$A$6</c:f>
              <c:strCache>
                <c:ptCount val="1"/>
                <c:pt idx="0">
                  <c:v>PAT</c:v>
                </c:pt>
              </c:strCache>
            </c:strRef>
          </c:tx>
          <c:spPr>
            <a:ln w="28575" cap="rnd">
              <a:solidFill>
                <a:srgbClr val="FFD966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'Raw Data'!$B$3:$F$3</c:f>
              <c:strCache>
                <c:ptCount val="5"/>
                <c:pt idx="0">
                  <c:v>Fy 2020-21</c:v>
                </c:pt>
                <c:pt idx="1">
                  <c:v>Fy 2021-22</c:v>
                </c:pt>
                <c:pt idx="2">
                  <c:v>Fy 2022-23</c:v>
                </c:pt>
                <c:pt idx="3">
                  <c:v>Fy 2023-24</c:v>
                </c:pt>
                <c:pt idx="4">
                  <c:v>Fy 2024-25</c:v>
                </c:pt>
              </c:strCache>
            </c:strRef>
          </c:cat>
          <c:val>
            <c:numRef>
              <c:f>'Raw Data'!$B$6:$F$6</c:f>
              <c:numCache>
                <c:formatCode>#,##0</c:formatCode>
                <c:ptCount val="5"/>
                <c:pt idx="0">
                  <c:v>7954</c:v>
                </c:pt>
                <c:pt idx="1">
                  <c:v>8818</c:v>
                </c:pt>
                <c:pt idx="2">
                  <c:v>9962</c:v>
                </c:pt>
                <c:pt idx="3">
                  <c:v>10114</c:v>
                </c:pt>
                <c:pt idx="4">
                  <c:v>10644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AD-416E-94FA-7DCDE5B96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166344"/>
        <c:axId val="1777420808"/>
      </c:lineChart>
      <c:catAx>
        <c:axId val="172916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757171"/>
          </a:solidFill>
          <a:ln w="9525" cap="flat" cmpd="sng" algn="ctr">
            <a:solidFill>
              <a:srgbClr val="AEAAAA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2F2F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420808"/>
        <c:crosses val="autoZero"/>
        <c:auto val="1"/>
        <c:lblAlgn val="ctr"/>
        <c:lblOffset val="100"/>
        <c:noMultiLvlLbl val="0"/>
      </c:catAx>
      <c:valAx>
        <c:axId val="177742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04040"/>
              </a:solidFill>
              <a:prstDash val="solid"/>
              <a:round/>
            </a:ln>
            <a:effectLst/>
          </c:spPr>
        </c:majorGridlines>
        <c:numFmt formatCode="[$₹-446]\ #,##0" sourceLinked="0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166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EBITDA &amp; PAT 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EBITDA</c:v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Ratios!C3:F3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Ratios!$C$5:$F$5</c:f>
              <c:numCache>
                <c:formatCode>0.0%</c:formatCode>
                <c:ptCount val="4"/>
                <c:pt idx="0">
                  <c:v>0.10411515365595192</c:v>
                </c:pt>
                <c:pt idx="1">
                  <c:v>9.0298328401183792E-2</c:v>
                </c:pt>
                <c:pt idx="2">
                  <c:v>4.0933098591549255E-2</c:v>
                </c:pt>
                <c:pt idx="3">
                  <c:v>6.9767441860464352E-3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7-4116-9E19-C9BBF9768D4F}"/>
            </c:ext>
          </c:extLst>
        </c:ser>
        <c:ser>
          <c:idx val="1"/>
          <c:order val="1"/>
          <c:tx>
            <c:v>PAT</c:v>
          </c:tx>
          <c:spPr>
            <a:ln w="28575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star"/>
            <c:size val="5"/>
            <c:spPr>
              <a:solidFill>
                <a:srgbClr val="833C0C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Ratios!C3:F3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Ratios!$C$6:$F$6</c:f>
              <c:numCache>
                <c:formatCode>0.0%</c:formatCode>
                <c:ptCount val="4"/>
                <c:pt idx="0">
                  <c:v>0.10862459140055325</c:v>
                </c:pt>
                <c:pt idx="1">
                  <c:v>0.12973463370378768</c:v>
                </c:pt>
                <c:pt idx="2">
                  <c:v>1.5257980325235954E-2</c:v>
                </c:pt>
                <c:pt idx="3">
                  <c:v>5.2402610243227121E-2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E7-4116-9E19-C9BBF976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626760"/>
        <c:axId val="1543653384"/>
      </c:lineChart>
      <c:catAx>
        <c:axId val="154362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53384"/>
        <c:crosses val="autoZero"/>
        <c:auto val="1"/>
        <c:lblAlgn val="ctr"/>
        <c:lblOffset val="100"/>
        <c:noMultiLvlLbl val="0"/>
      </c:catAx>
      <c:valAx>
        <c:axId val="154365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757171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2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Margin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Ratios!$A$8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Ratios!B3:F3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Ratios!$B$8:$F$8</c:f>
              <c:numCache>
                <c:formatCode>0.0%</c:formatCode>
                <c:ptCount val="5"/>
                <c:pt idx="0">
                  <c:v>0.24991723863962392</c:v>
                </c:pt>
                <c:pt idx="1">
                  <c:v>0.24839081373172281</c:v>
                </c:pt>
                <c:pt idx="2">
                  <c:v>0.23441207827492519</c:v>
                </c:pt>
                <c:pt idx="3">
                  <c:v>0.23817116769331476</c:v>
                </c:pt>
                <c:pt idx="4">
                  <c:v>0.2354812129202373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5-4211-84CA-B8A50D15E965}"/>
            </c:ext>
          </c:extLst>
        </c:ser>
        <c:ser>
          <c:idx val="1"/>
          <c:order val="1"/>
          <c:tx>
            <c:strRef>
              <c:f>Ratios!$A$9</c:f>
              <c:strCache>
                <c:ptCount val="1"/>
                <c:pt idx="0">
                  <c:v>PAT Margin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Ratios!B3:F3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Ratios!$B$9:$F$9</c:f>
              <c:numCache>
                <c:formatCode>0.0%</c:formatCode>
                <c:ptCount val="5"/>
                <c:pt idx="0">
                  <c:v>0.17554236278166449</c:v>
                </c:pt>
                <c:pt idx="1">
                  <c:v>0.17518277177368086</c:v>
                </c:pt>
                <c:pt idx="2">
                  <c:v>0.17130377961963064</c:v>
                </c:pt>
                <c:pt idx="3">
                  <c:v>0.16975780056731399</c:v>
                </c:pt>
                <c:pt idx="4">
                  <c:v>0.17541199736321689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25-4211-84CA-B8A50D15E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1053448"/>
        <c:axId val="1543622152"/>
      </c:lineChart>
      <c:catAx>
        <c:axId val="154105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22152"/>
        <c:crosses val="autoZero"/>
        <c:auto val="1"/>
        <c:lblAlgn val="ctr"/>
        <c:lblOffset val="100"/>
        <c:noMultiLvlLbl val="0"/>
      </c:catAx>
      <c:valAx>
        <c:axId val="154362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05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ROE &amp; ROCE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ROE</c:v>
          </c:tx>
          <c:spPr>
            <a:solidFill>
              <a:srgbClr val="FFD966"/>
            </a:solidFill>
            <a:ln>
              <a:solidFill>
                <a:srgbClr val="BF8F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Ratios!B3:F3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Ratios!B12:F12</c:f>
              <c:numCache>
                <c:formatCode>0.0%</c:formatCode>
                <c:ptCount val="5"/>
                <c:pt idx="1">
                  <c:v>0.18333783811880158</c:v>
                </c:pt>
                <c:pt idx="2">
                  <c:v>0.20129115688869581</c:v>
                </c:pt>
                <c:pt idx="3">
                  <c:v>0.19989327430480067</c:v>
                </c:pt>
                <c:pt idx="4">
                  <c:v>0.21261210874298384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D-4E3A-93EE-F35B3114FECF}"/>
            </c:ext>
          </c:extLst>
        </c:ser>
        <c:ser>
          <c:idx val="1"/>
          <c:order val="1"/>
          <c:tx>
            <c:v>ROCE</c:v>
          </c:tx>
          <c:spPr>
            <a:solidFill>
              <a:srgbClr val="A9D08E"/>
            </a:solidFill>
            <a:ln>
              <a:solidFill>
                <a:srgbClr val="70AD47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Ratios!B3:F3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Ratios!B16:F16</c:f>
              <c:numCache>
                <c:formatCode>0.0%</c:formatCode>
                <c:ptCount val="5"/>
                <c:pt idx="0">
                  <c:v>1.1299999999999999</c:v>
                </c:pt>
                <c:pt idx="1">
                  <c:v>1.0780000000000001</c:v>
                </c:pt>
                <c:pt idx="2">
                  <c:v>1.0189999999999999</c:v>
                </c:pt>
                <c:pt idx="3">
                  <c:v>0.96299999999999997</c:v>
                </c:pt>
                <c:pt idx="4">
                  <c:v>1.0820000000000001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D-4E3A-93EE-F35B3114F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328904"/>
        <c:axId val="1270910984"/>
      </c:barChart>
      <c:catAx>
        <c:axId val="162932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910984"/>
        <c:crosses val="autoZero"/>
        <c:auto val="1"/>
        <c:lblAlgn val="ctr"/>
        <c:lblOffset val="100"/>
        <c:noMultiLvlLbl val="0"/>
      </c:catAx>
      <c:valAx>
        <c:axId val="1270910984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rgbClr val="595959"/>
              </a:solidFill>
              <a:prstDash val="solid"/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2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Conversion Cycle Trend (Days)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CCC</c:v>
          </c:tx>
          <c:spPr>
            <a:solidFill>
              <a:srgbClr val="FFE699"/>
            </a:solidFill>
            <a:ln>
              <a:solidFill>
                <a:srgbClr val="70AD47"/>
              </a:solidFill>
              <a:prstDash val="solid"/>
            </a:ln>
            <a:effectLst/>
          </c:spPr>
          <c:cat>
            <c:strRef>
              <c:f>Ratios!B3:F3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Ratios!$B$25:$F$25</c:f>
              <c:numCache>
                <c:formatCode>0.0</c:formatCode>
                <c:ptCount val="5"/>
                <c:pt idx="0">
                  <c:v>-53.092478713339638</c:v>
                </c:pt>
                <c:pt idx="1">
                  <c:v>-49.585791038167237</c:v>
                </c:pt>
                <c:pt idx="2">
                  <c:v>-38.171007957143374</c:v>
                </c:pt>
                <c:pt idx="3">
                  <c:v>-44.279653944586627</c:v>
                </c:pt>
                <c:pt idx="4">
                  <c:v>-40.507044125465178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7-45AC-A9B4-8639D40C1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570632"/>
        <c:axId val="1236572680"/>
      </c:areaChart>
      <c:catAx>
        <c:axId val="123657063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72680"/>
        <c:crosses val="autoZero"/>
        <c:auto val="1"/>
        <c:lblAlgn val="ctr"/>
        <c:lblOffset val="100"/>
        <c:noMultiLvlLbl val="0"/>
      </c:catAx>
      <c:valAx>
        <c:axId val="12365726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70632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47625</xdr:rowOff>
    </xdr:from>
    <xdr:to>
      <xdr:col>6</xdr:col>
      <xdr:colOff>419100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9E77E-752F-406E-BAFB-79D9E5067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447675</xdr:colOff>
      <xdr:row>6</xdr:row>
      <xdr:rowOff>19050</xdr:rowOff>
    </xdr:from>
    <xdr:to>
      <xdr:col>13</xdr:col>
      <xdr:colOff>571500</xdr:colOff>
      <xdr:row>19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DFBBBE-633D-4F5F-B080-D6108B26EE91}"/>
            </a:ext>
            <a:ext uri="{147F2762-F138-4A5C-976F-8EAC2B608ADB}">
              <a16:predDERef xmlns:a16="http://schemas.microsoft.com/office/drawing/2014/main" pred="{6609E77E-752F-406E-BAFB-79D9E5067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600075</xdr:colOff>
      <xdr:row>6</xdr:row>
      <xdr:rowOff>19050</xdr:rowOff>
    </xdr:from>
    <xdr:to>
      <xdr:col>21</xdr:col>
      <xdr:colOff>9525</xdr:colOff>
      <xdr:row>19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EBAEB6-14CB-487B-9745-32E0932EE463}"/>
            </a:ext>
            <a:ext uri="{147F2762-F138-4A5C-976F-8EAC2B608ADB}">
              <a16:predDERef xmlns:a16="http://schemas.microsoft.com/office/drawing/2014/main" pred="{F9DFBBBE-633D-4F5F-B080-D6108B26E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19</xdr:row>
      <xdr:rowOff>171450</xdr:rowOff>
    </xdr:from>
    <xdr:to>
      <xdr:col>6</xdr:col>
      <xdr:colOff>457200</xdr:colOff>
      <xdr:row>32</xdr:row>
      <xdr:rowOff>142875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C6FCBB2E-ECED-49D4-A1AC-7C9AC7856314}"/>
            </a:ext>
            <a:ext uri="{147F2762-F138-4A5C-976F-8EAC2B608ADB}">
              <a16:predDERef xmlns:a16="http://schemas.microsoft.com/office/drawing/2014/main" pred="{EFEBAEB6-14CB-487B-9745-32E0932EE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485775</xdr:colOff>
      <xdr:row>19</xdr:row>
      <xdr:rowOff>171450</xdr:rowOff>
    </xdr:from>
    <xdr:to>
      <xdr:col>13</xdr:col>
      <xdr:colOff>600075</xdr:colOff>
      <xdr:row>32</xdr:row>
      <xdr:rowOff>114300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657A3D53-2463-410E-A526-AC4CACAF910B}"/>
            </a:ext>
            <a:ext uri="{147F2762-F138-4A5C-976F-8EAC2B608ADB}">
              <a16:predDERef xmlns:a16="http://schemas.microsoft.com/office/drawing/2014/main" pred="{C6FCBB2E-ECED-49D4-A1AC-7C9AC7856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2919BE-BA4C-4256-B725-84FAC897ADB4}" name="Table2" displayName="Table2" ref="A3:D9" totalsRowShown="0" headerRowDxfId="0">
  <autoFilter ref="A3:D9" xr:uid="{712919BE-BA4C-4256-B725-84FAC897ADB4}"/>
  <tableColumns count="4">
    <tableColumn id="1" xr3:uid="{C2527510-63EC-42B4-A95A-0140AD040B0E}" name="Theme"/>
    <tableColumn id="2" xr3:uid="{7109C342-5A8C-40C3-8E67-55D57C6D2E0F}" name="Observation"/>
    <tableColumn id="3" xr3:uid="{818C13AF-1D52-49DD-9AAB-E907A8209D0D}" name="Evidence"/>
    <tableColumn id="4" xr3:uid="{24D5BCFD-C9D9-46A9-9D78-C873473379FE}" name="Business Interpretation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AC13-940C-48B4-8D27-3C93647AE231}">
  <dimension ref="A1:H24"/>
  <sheetViews>
    <sheetView workbookViewId="0">
      <selection activeCell="A9" sqref="A9"/>
    </sheetView>
  </sheetViews>
  <sheetFormatPr defaultRowHeight="15"/>
  <cols>
    <col min="1" max="1" width="30.7109375" customWidth="1"/>
    <col min="2" max="2" width="37.28515625" customWidth="1"/>
    <col min="4" max="4" width="12.140625" customWidth="1"/>
    <col min="6" max="6" width="18.140625" customWidth="1"/>
  </cols>
  <sheetData>
    <row r="1" spans="1:8">
      <c r="A1" s="50" t="s">
        <v>0</v>
      </c>
      <c r="B1" s="51"/>
      <c r="C1" s="51"/>
      <c r="D1" s="51"/>
      <c r="E1" s="51"/>
      <c r="F1" s="52"/>
    </row>
    <row r="2" spans="1:8">
      <c r="A2" s="53"/>
      <c r="B2" s="54"/>
      <c r="C2" s="54"/>
      <c r="D2" s="54"/>
      <c r="E2" s="54"/>
      <c r="F2" s="55"/>
    </row>
    <row r="3" spans="1:8">
      <c r="A3" t="s">
        <v>1</v>
      </c>
      <c r="B3" s="32" t="s">
        <v>2</v>
      </c>
      <c r="C3" s="32"/>
      <c r="D3" s="32"/>
      <c r="E3" s="32"/>
      <c r="F3" s="32"/>
    </row>
    <row r="4" spans="1:8">
      <c r="A4" t="s">
        <v>3</v>
      </c>
      <c r="B4" s="32" t="s">
        <v>4</v>
      </c>
      <c r="C4" s="32"/>
      <c r="D4" s="32"/>
      <c r="E4" s="32"/>
      <c r="F4" s="32"/>
    </row>
    <row r="5" spans="1:8">
      <c r="A5" t="s">
        <v>5</v>
      </c>
      <c r="B5" s="32" t="s">
        <v>6</v>
      </c>
      <c r="C5" s="32"/>
      <c r="D5" s="32"/>
      <c r="E5" s="32"/>
      <c r="F5" s="32"/>
    </row>
    <row r="6" spans="1:8">
      <c r="A6" t="s">
        <v>7</v>
      </c>
      <c r="B6" s="32" t="s">
        <v>8</v>
      </c>
      <c r="C6" s="32"/>
      <c r="D6" s="32"/>
      <c r="E6" s="32"/>
      <c r="F6" s="32"/>
    </row>
    <row r="7" spans="1:8">
      <c r="A7" t="s">
        <v>9</v>
      </c>
      <c r="B7" s="32" t="s">
        <v>10</v>
      </c>
      <c r="C7" s="32"/>
      <c r="D7" s="32"/>
      <c r="E7" s="32"/>
      <c r="F7" s="32"/>
    </row>
    <row r="8" spans="1:8" ht="16.5" customHeight="1">
      <c r="A8" s="20" t="s">
        <v>11</v>
      </c>
      <c r="B8" s="32" t="s">
        <v>12</v>
      </c>
      <c r="C8" s="32"/>
      <c r="D8" s="32"/>
      <c r="E8" s="32"/>
      <c r="F8" s="32"/>
    </row>
    <row r="9" spans="1:8" ht="16.5" customHeight="1">
      <c r="A9" s="20" t="s">
        <v>13</v>
      </c>
      <c r="B9" s="32" t="s">
        <v>14</v>
      </c>
      <c r="C9" s="32"/>
      <c r="D9" s="32"/>
      <c r="E9" s="32"/>
      <c r="F9" s="32"/>
    </row>
    <row r="11" spans="1:8" ht="16.5" customHeight="1">
      <c r="A11" s="48" t="s">
        <v>15</v>
      </c>
      <c r="B11" s="49"/>
      <c r="C11" s="49"/>
      <c r="D11" s="56" t="s">
        <v>16</v>
      </c>
      <c r="E11" s="57"/>
      <c r="F11" s="57"/>
      <c r="G11" s="57"/>
      <c r="H11" s="58"/>
    </row>
    <row r="12" spans="1:8" ht="17.25" customHeight="1">
      <c r="A12" s="32" t="s">
        <v>17</v>
      </c>
      <c r="B12" s="32"/>
      <c r="C12" s="32"/>
      <c r="E12" t="s">
        <v>18</v>
      </c>
      <c r="F12" s="24"/>
      <c r="G12" s="24"/>
      <c r="H12" s="24"/>
    </row>
    <row r="13" spans="1:8" ht="13.5" customHeight="1">
      <c r="A13" s="32" t="s">
        <v>19</v>
      </c>
      <c r="B13" s="32"/>
      <c r="C13" s="32"/>
      <c r="E13" t="s">
        <v>20</v>
      </c>
      <c r="F13" s="24"/>
      <c r="G13" s="24"/>
      <c r="H13" s="24"/>
    </row>
    <row r="14" spans="1:8">
      <c r="A14" s="32" t="s">
        <v>21</v>
      </c>
      <c r="B14" s="32"/>
      <c r="C14" s="32"/>
      <c r="E14" t="s">
        <v>22</v>
      </c>
      <c r="F14" s="24"/>
      <c r="G14" s="24"/>
      <c r="H14" s="24"/>
    </row>
    <row r="15" spans="1:8" ht="13.5" customHeight="1">
      <c r="A15" s="28" t="s">
        <v>23</v>
      </c>
      <c r="B15" s="28"/>
      <c r="C15" s="28"/>
      <c r="E15" t="s">
        <v>24</v>
      </c>
      <c r="F15" s="24"/>
      <c r="G15" s="24"/>
      <c r="H15" s="24"/>
    </row>
    <row r="16" spans="1:8" ht="13.5" customHeight="1">
      <c r="A16" s="28" t="s">
        <v>25</v>
      </c>
      <c r="B16" s="28"/>
      <c r="C16" s="28"/>
      <c r="E16" t="s">
        <v>26</v>
      </c>
      <c r="F16" s="24"/>
      <c r="G16" s="24"/>
      <c r="H16" s="24"/>
    </row>
    <row r="17" spans="1:8" ht="17.25" customHeight="1">
      <c r="A17" s="28" t="s">
        <v>27</v>
      </c>
      <c r="B17" s="28"/>
      <c r="C17" s="28"/>
      <c r="E17" t="s">
        <v>28</v>
      </c>
      <c r="F17" s="24"/>
      <c r="G17" s="24"/>
      <c r="H17" s="24"/>
    </row>
    <row r="18" spans="1:8" ht="14.25" customHeight="1">
      <c r="A18" s="28" t="s">
        <v>29</v>
      </c>
      <c r="B18" s="28"/>
      <c r="C18" s="28"/>
      <c r="E18" t="s">
        <v>30</v>
      </c>
      <c r="F18" s="24"/>
      <c r="G18" s="24"/>
      <c r="H18" s="24"/>
    </row>
    <row r="19" spans="1:8">
      <c r="E19" t="s">
        <v>31</v>
      </c>
      <c r="F19" s="24"/>
      <c r="G19" s="24"/>
      <c r="H19" s="24"/>
    </row>
    <row r="20" spans="1:8" ht="15.75">
      <c r="A20" s="29" t="s">
        <v>32</v>
      </c>
      <c r="B20" s="30"/>
      <c r="C20" s="30"/>
      <c r="E20" t="s">
        <v>33</v>
      </c>
      <c r="F20" s="24"/>
      <c r="G20" s="24"/>
      <c r="H20" s="24"/>
    </row>
    <row r="21" spans="1:8" ht="14.25" customHeight="1">
      <c r="A21" s="31" t="s">
        <v>34</v>
      </c>
      <c r="B21" s="31"/>
      <c r="C21" s="31"/>
      <c r="E21" t="s">
        <v>35</v>
      </c>
      <c r="F21" s="24"/>
      <c r="G21" s="24"/>
      <c r="H21" s="24"/>
    </row>
    <row r="22" spans="1:8">
      <c r="A22" s="31"/>
      <c r="B22" s="31"/>
      <c r="C22" s="31"/>
      <c r="D22" s="24"/>
      <c r="E22" s="24"/>
      <c r="F22" s="24"/>
      <c r="G22" s="24"/>
      <c r="H22" s="24"/>
    </row>
    <row r="23" spans="1:8">
      <c r="A23" s="31"/>
      <c r="B23" s="31"/>
      <c r="C23" s="31"/>
    </row>
    <row r="24" spans="1:8">
      <c r="A24" s="19"/>
      <c r="B24" s="19"/>
      <c r="C24" s="19"/>
    </row>
  </sheetData>
  <mergeCells count="19">
    <mergeCell ref="B8:F8"/>
    <mergeCell ref="B9:F9"/>
    <mergeCell ref="A1:F2"/>
    <mergeCell ref="B3:F3"/>
    <mergeCell ref="B4:F4"/>
    <mergeCell ref="B5:F5"/>
    <mergeCell ref="B6:F6"/>
    <mergeCell ref="B7:F7"/>
    <mergeCell ref="A17:C17"/>
    <mergeCell ref="A18:C18"/>
    <mergeCell ref="D11:H11"/>
    <mergeCell ref="A20:C20"/>
    <mergeCell ref="A21:C23"/>
    <mergeCell ref="A11:C11"/>
    <mergeCell ref="A12:C12"/>
    <mergeCell ref="A13:C13"/>
    <mergeCell ref="A14:C14"/>
    <mergeCell ref="A15:C15"/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G4" sqref="G4"/>
    </sheetView>
  </sheetViews>
  <sheetFormatPr defaultRowHeight="15"/>
  <cols>
    <col min="1" max="1" width="24.42578125" customWidth="1"/>
    <col min="2" max="2" width="10.28515625" customWidth="1"/>
    <col min="3" max="3" width="12" customWidth="1"/>
    <col min="4" max="4" width="11.140625" customWidth="1"/>
    <col min="5" max="5" width="11.7109375" customWidth="1"/>
    <col min="6" max="6" width="10.85546875" customWidth="1"/>
    <col min="7" max="7" width="30.140625" customWidth="1"/>
    <col min="13" max="13" width="22.28515625" customWidth="1"/>
  </cols>
  <sheetData>
    <row r="1" spans="1:13">
      <c r="A1" s="33" t="s">
        <v>36</v>
      </c>
      <c r="B1" s="33"/>
      <c r="C1" s="33"/>
      <c r="D1" s="33"/>
      <c r="E1" s="33"/>
      <c r="F1" s="33"/>
      <c r="G1" s="33"/>
      <c r="H1" s="33"/>
      <c r="I1" s="33"/>
    </row>
    <row r="2" spans="1:13">
      <c r="A2" s="33"/>
      <c r="B2" s="33"/>
      <c r="C2" s="33"/>
      <c r="D2" s="33"/>
      <c r="E2" s="33"/>
      <c r="F2" s="33"/>
      <c r="G2" s="33"/>
      <c r="H2" s="33"/>
      <c r="I2" s="33"/>
    </row>
    <row r="3" spans="1:13" ht="15.75">
      <c r="A3" s="6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10" t="s">
        <v>43</v>
      </c>
    </row>
    <row r="4" spans="1:13" ht="15.75">
      <c r="A4" s="6" t="s">
        <v>44</v>
      </c>
      <c r="B4" s="1">
        <v>45311</v>
      </c>
      <c r="C4" s="1">
        <v>50336</v>
      </c>
      <c r="D4" s="1">
        <v>58154</v>
      </c>
      <c r="E4" s="1">
        <v>59579</v>
      </c>
      <c r="F4" s="1">
        <v>60680</v>
      </c>
      <c r="G4" s="24" t="s">
        <v>45</v>
      </c>
      <c r="I4" s="1"/>
      <c r="J4" s="1"/>
    </row>
    <row r="5" spans="1:13" ht="15.75">
      <c r="A5" s="6" t="s">
        <v>46</v>
      </c>
      <c r="B5" s="1">
        <v>11324</v>
      </c>
      <c r="C5" s="1">
        <v>12503</v>
      </c>
      <c r="D5" s="1">
        <v>13632</v>
      </c>
      <c r="E5" s="1">
        <v>14190</v>
      </c>
      <c r="F5" s="1">
        <v>14289</v>
      </c>
      <c r="G5" s="24" t="s">
        <v>45</v>
      </c>
    </row>
    <row r="6" spans="1:13" ht="15.75">
      <c r="A6" s="6" t="s">
        <v>47</v>
      </c>
      <c r="B6" s="1">
        <v>7954</v>
      </c>
      <c r="C6" s="1">
        <v>8818</v>
      </c>
      <c r="D6" s="1">
        <v>9962</v>
      </c>
      <c r="E6" s="1">
        <v>10114</v>
      </c>
      <c r="F6" s="1">
        <v>10644</v>
      </c>
      <c r="G6" s="24" t="s">
        <v>45</v>
      </c>
    </row>
    <row r="7" spans="1:13" ht="15.75">
      <c r="A7" s="6" t="s">
        <v>48</v>
      </c>
      <c r="B7" s="1">
        <v>11324</v>
      </c>
      <c r="C7" s="1">
        <v>11684</v>
      </c>
      <c r="D7" s="1">
        <v>12694</v>
      </c>
      <c r="E7" s="1">
        <v>15179</v>
      </c>
      <c r="F7" s="1">
        <v>13789</v>
      </c>
      <c r="G7" s="24" t="s">
        <v>45</v>
      </c>
      <c r="K7" s="2"/>
      <c r="L7" s="2"/>
    </row>
    <row r="8" spans="1:13" ht="15" customHeight="1">
      <c r="G8" s="24"/>
      <c r="L8" s="1"/>
      <c r="M8" s="1"/>
    </row>
    <row r="9" spans="1:13" ht="15" customHeight="1">
      <c r="A9" s="4" t="s">
        <v>49</v>
      </c>
      <c r="B9" s="8">
        <v>68116</v>
      </c>
      <c r="C9" s="8">
        <v>69737</v>
      </c>
      <c r="D9" s="8">
        <v>71825</v>
      </c>
      <c r="E9" s="1">
        <v>77076</v>
      </c>
      <c r="F9" s="1">
        <v>78313</v>
      </c>
      <c r="G9" s="24" t="s">
        <v>50</v>
      </c>
      <c r="L9" s="1"/>
      <c r="M9" s="1"/>
    </row>
    <row r="10" spans="1:13" ht="15.75">
      <c r="A10" s="5" t="s">
        <v>51</v>
      </c>
      <c r="B10" s="8">
        <v>47434</v>
      </c>
      <c r="C10" s="8">
        <v>48760</v>
      </c>
      <c r="D10" s="8">
        <v>50221</v>
      </c>
      <c r="E10" s="1">
        <v>50973</v>
      </c>
      <c r="F10" s="1">
        <v>49153</v>
      </c>
      <c r="G10" s="24" t="s">
        <v>50</v>
      </c>
      <c r="L10" s="1"/>
      <c r="M10" s="1"/>
    </row>
    <row r="11" spans="1:13" ht="15.75">
      <c r="A11" s="5" t="s">
        <v>52</v>
      </c>
      <c r="B11" s="8">
        <v>13640</v>
      </c>
      <c r="C11" s="8">
        <v>14647</v>
      </c>
      <c r="D11" s="8">
        <v>16049</v>
      </c>
      <c r="E11" s="1">
        <v>20296</v>
      </c>
      <c r="F11" s="1">
        <v>20899</v>
      </c>
      <c r="G11" s="24" t="s">
        <v>50</v>
      </c>
      <c r="J11" s="2"/>
      <c r="K11" s="2"/>
      <c r="L11" s="2"/>
      <c r="M11" s="2"/>
    </row>
    <row r="12" spans="1:13" ht="15.75">
      <c r="A12" s="6" t="s">
        <v>53</v>
      </c>
      <c r="B12" s="8">
        <v>10841</v>
      </c>
      <c r="C12" s="8">
        <v>10944</v>
      </c>
      <c r="D12" s="8">
        <v>11627</v>
      </c>
      <c r="E12" s="1">
        <v>12403</v>
      </c>
      <c r="F12" s="1">
        <v>15672</v>
      </c>
      <c r="G12" s="24" t="s">
        <v>50</v>
      </c>
      <c r="K12" s="7"/>
      <c r="L12" s="7"/>
      <c r="M12" s="7"/>
    </row>
    <row r="13" spans="1:13" ht="15.75">
      <c r="A13" s="5" t="s">
        <v>54</v>
      </c>
      <c r="B13" s="8">
        <v>3383</v>
      </c>
      <c r="C13" s="8">
        <v>3890</v>
      </c>
      <c r="D13" s="8">
        <v>4031</v>
      </c>
      <c r="E13" s="1">
        <v>3812</v>
      </c>
      <c r="F13" s="1">
        <v>4161</v>
      </c>
      <c r="G13" s="24" t="s">
        <v>50</v>
      </c>
      <c r="K13" s="7"/>
      <c r="L13" s="7"/>
      <c r="M13" s="7"/>
    </row>
    <row r="14" spans="1:13" ht="15.75">
      <c r="A14" s="6" t="s">
        <v>55</v>
      </c>
      <c r="B14" s="8">
        <v>1648</v>
      </c>
      <c r="C14" s="8">
        <v>1932</v>
      </c>
      <c r="D14" s="8">
        <v>2735</v>
      </c>
      <c r="E14" s="1">
        <v>2690</v>
      </c>
      <c r="F14" s="1">
        <v>3450</v>
      </c>
      <c r="G14" s="24" t="s">
        <v>50</v>
      </c>
      <c r="K14" s="7"/>
      <c r="L14" s="7"/>
      <c r="M14" s="7"/>
    </row>
    <row r="15" spans="1:13" ht="15.75">
      <c r="A15" s="5" t="s">
        <v>56</v>
      </c>
      <c r="B15" s="8">
        <v>8627</v>
      </c>
      <c r="C15" s="8">
        <v>8864</v>
      </c>
      <c r="D15" s="8">
        <v>9391</v>
      </c>
      <c r="E15" s="1">
        <v>10148</v>
      </c>
      <c r="F15" s="1">
        <v>10998</v>
      </c>
      <c r="G15" s="24" t="s">
        <v>50</v>
      </c>
      <c r="K15" s="7"/>
      <c r="L15" s="7"/>
      <c r="M15" s="7"/>
    </row>
    <row r="16" spans="1:13" ht="15.75">
      <c r="A16" s="6" t="s">
        <v>57</v>
      </c>
      <c r="B16" s="8">
        <v>1740</v>
      </c>
      <c r="C16" s="9">
        <v>988</v>
      </c>
      <c r="D16" s="9">
        <v>586</v>
      </c>
      <c r="E16">
        <v>609</v>
      </c>
      <c r="F16" s="1">
        <v>5947</v>
      </c>
      <c r="G16" s="24" t="s">
        <v>50</v>
      </c>
      <c r="H16" s="1"/>
      <c r="I16" s="1"/>
      <c r="K16" s="7"/>
      <c r="L16" s="7"/>
      <c r="M16" s="7"/>
    </row>
    <row r="17" spans="1:13" ht="15.75">
      <c r="A17" s="6" t="s">
        <v>58</v>
      </c>
      <c r="B17" s="9">
        <v>679</v>
      </c>
      <c r="C17" s="9">
        <v>686</v>
      </c>
      <c r="D17" s="9">
        <v>746</v>
      </c>
      <c r="E17" s="1">
        <v>1034</v>
      </c>
      <c r="F17" s="1">
        <v>1157</v>
      </c>
      <c r="G17" s="24" t="s">
        <v>50</v>
      </c>
      <c r="I17" s="1"/>
      <c r="K17" s="7"/>
      <c r="L17" s="7"/>
      <c r="M17" s="7"/>
    </row>
    <row r="18" spans="1:13" ht="15.75">
      <c r="A18" s="6" t="s">
        <v>59</v>
      </c>
      <c r="B18" s="9">
        <v>264</v>
      </c>
      <c r="C18" s="9">
        <v>285</v>
      </c>
      <c r="D18" s="9">
        <v>293</v>
      </c>
      <c r="E18">
        <v>340</v>
      </c>
      <c r="F18">
        <v>380</v>
      </c>
      <c r="G18" s="24" t="s">
        <v>50</v>
      </c>
      <c r="I18" s="1"/>
      <c r="K18" s="7"/>
      <c r="L18" s="7"/>
      <c r="M18" s="7"/>
    </row>
    <row r="19" spans="1:13">
      <c r="I19" s="1"/>
      <c r="K19" s="7"/>
      <c r="L19" s="2"/>
      <c r="M19" s="2"/>
    </row>
    <row r="20" spans="1:13">
      <c r="K20" s="2"/>
      <c r="L20" s="2"/>
      <c r="M20" s="2"/>
    </row>
    <row r="21" spans="1:13">
      <c r="K21" s="2"/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0BFB-49F8-479F-935F-747800123858}">
  <dimension ref="A1:L29"/>
  <sheetViews>
    <sheetView workbookViewId="0">
      <selection activeCell="C6" sqref="C6"/>
    </sheetView>
  </sheetViews>
  <sheetFormatPr defaultRowHeight="15"/>
  <cols>
    <col min="1" max="1" width="22.140625" customWidth="1"/>
    <col min="2" max="2" width="11.5703125" customWidth="1"/>
    <col min="3" max="3" width="11.140625" customWidth="1"/>
    <col min="4" max="4" width="10.7109375" customWidth="1"/>
    <col min="5" max="5" width="11.42578125" customWidth="1"/>
    <col min="6" max="6" width="11.140625" customWidth="1"/>
    <col min="12" max="12" width="9.42578125" customWidth="1"/>
  </cols>
  <sheetData>
    <row r="1" spans="1:12">
      <c r="A1" s="34" t="s">
        <v>60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</row>
    <row r="2" spans="1:12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</row>
    <row r="3" spans="1:12" ht="15.75">
      <c r="A3" s="44" t="s">
        <v>61</v>
      </c>
      <c r="B3" s="45" t="s">
        <v>62</v>
      </c>
      <c r="C3" s="3" t="s">
        <v>63</v>
      </c>
      <c r="D3" s="3" t="s">
        <v>64</v>
      </c>
      <c r="E3" s="3" t="s">
        <v>65</v>
      </c>
      <c r="F3" s="3" t="s">
        <v>66</v>
      </c>
    </row>
    <row r="4" spans="1:12" ht="15.75">
      <c r="A4" s="6" t="s">
        <v>67</v>
      </c>
      <c r="B4" s="24" t="s">
        <v>68</v>
      </c>
      <c r="C4" s="14">
        <f>('Raw Data'!C4/'Raw Data'!B4)-1</f>
        <v>0.11090022290393065</v>
      </c>
      <c r="D4" s="14">
        <f>('Raw Data'!D4/'Raw Data'!C4)-1</f>
        <v>0.15531627463445652</v>
      </c>
      <c r="E4" s="14">
        <f>('Raw Data'!E4/'Raw Data'!D4)-1</f>
        <v>2.4503903428826801E-2</v>
      </c>
      <c r="F4" s="14">
        <f>('Raw Data'!F4/'Raw Data'!E4)-1</f>
        <v>1.8479665654005606E-2</v>
      </c>
    </row>
    <row r="5" spans="1:12" ht="15.75">
      <c r="A5" s="6" t="s">
        <v>69</v>
      </c>
      <c r="B5" s="24" t="s">
        <v>68</v>
      </c>
      <c r="C5" s="14">
        <f>('Raw Data'!C5/'Raw Data'!B5)-1</f>
        <v>0.10411515365595192</v>
      </c>
      <c r="D5" s="14">
        <f>('Raw Data'!D5/'Raw Data'!C5)-1</f>
        <v>9.0298328401183792E-2</v>
      </c>
      <c r="E5" s="14">
        <f>('Raw Data'!E5/'Raw Data'!D5)-1</f>
        <v>4.0933098591549255E-2</v>
      </c>
      <c r="F5" s="14">
        <f>('Raw Data'!F5/'Raw Data'!E5)-1</f>
        <v>6.9767441860464352E-3</v>
      </c>
    </row>
    <row r="6" spans="1:12" ht="15.75">
      <c r="A6" s="6" t="s">
        <v>70</v>
      </c>
      <c r="B6" s="24" t="s">
        <v>68</v>
      </c>
      <c r="C6" s="14">
        <f>('Raw Data'!C6/'Raw Data'!B6)-1</f>
        <v>0.10862459140055325</v>
      </c>
      <c r="D6" s="14">
        <f>('Raw Data'!D6/'Raw Data'!C6)-1</f>
        <v>0.12973463370378768</v>
      </c>
      <c r="E6" s="14">
        <f>('Raw Data'!E6/'Raw Data'!D6)-1</f>
        <v>1.5257980325235954E-2</v>
      </c>
      <c r="F6" s="14">
        <f>('Raw Data'!F6/'Raw Data'!E6)-1</f>
        <v>5.2402610243227121E-2</v>
      </c>
    </row>
    <row r="7" spans="1:12" ht="15.75">
      <c r="A7" s="6"/>
      <c r="C7" s="14"/>
      <c r="D7" s="14"/>
      <c r="E7" s="14"/>
      <c r="F7" s="14"/>
      <c r="H7" s="17"/>
    </row>
    <row r="8" spans="1:12" ht="15.75">
      <c r="A8" s="6" t="s">
        <v>71</v>
      </c>
      <c r="B8" s="14">
        <f>'Raw Data'!B5/'Raw Data'!B4</f>
        <v>0.24991723863962392</v>
      </c>
      <c r="C8" s="14">
        <f>'Raw Data'!C5/'Raw Data'!C4</f>
        <v>0.24839081373172281</v>
      </c>
      <c r="D8" s="14">
        <f>'Raw Data'!D5/'Raw Data'!D4</f>
        <v>0.23441207827492519</v>
      </c>
      <c r="E8" s="14">
        <f>'Raw Data'!E5/'Raw Data'!E4</f>
        <v>0.23817116769331476</v>
      </c>
      <c r="F8" s="14">
        <f>'Raw Data'!F5/'Raw Data'!F4</f>
        <v>0.2354812129202373</v>
      </c>
    </row>
    <row r="9" spans="1:12" ht="15.75">
      <c r="A9" s="6" t="s">
        <v>72</v>
      </c>
      <c r="B9" s="14">
        <f>'Raw Data'!B6/'Raw Data'!B4</f>
        <v>0.17554236278166449</v>
      </c>
      <c r="C9" s="14">
        <f>'Raw Data'!C6/'Raw Data'!C4</f>
        <v>0.17518277177368086</v>
      </c>
      <c r="D9" s="14">
        <f>'Raw Data'!D6/'Raw Data'!D4</f>
        <v>0.17130377961963064</v>
      </c>
      <c r="E9" s="14">
        <f>'Raw Data'!E6/'Raw Data'!E4</f>
        <v>0.16975780056731399</v>
      </c>
      <c r="F9" s="14">
        <f>'Raw Data'!F6/'Raw Data'!F4</f>
        <v>0.17541199736321689</v>
      </c>
    </row>
    <row r="10" spans="1:12" ht="18" customHeight="1">
      <c r="A10" s="6"/>
    </row>
    <row r="11" spans="1:12" ht="19.5" customHeight="1">
      <c r="A11" s="11" t="s">
        <v>30</v>
      </c>
      <c r="B11" s="1">
        <f>'Raw Data'!B11-'Raw Data'!B12</f>
        <v>2799</v>
      </c>
      <c r="C11" s="1">
        <f>'Raw Data'!C11-'Raw Data'!C12</f>
        <v>3703</v>
      </c>
      <c r="D11" s="1">
        <f>'Raw Data'!D11-'Raw Data'!D12</f>
        <v>4422</v>
      </c>
      <c r="E11" s="1">
        <f>'Raw Data'!E11-'Raw Data'!E12</f>
        <v>7893</v>
      </c>
      <c r="F11" s="1">
        <f>'Raw Data'!F11-'Raw Data'!F12</f>
        <v>5227</v>
      </c>
    </row>
    <row r="12" spans="1:12" ht="15.75">
      <c r="A12" s="6" t="s">
        <v>73</v>
      </c>
      <c r="C12" s="14">
        <f>'Raw Data'!C6/AVERAGE('Raw Data'!B10,'Raw Data'!C10)</f>
        <v>0.18333783811880158</v>
      </c>
      <c r="D12" s="14">
        <f>'Raw Data'!D6/AVERAGE('Raw Data'!C10,'Raw Data'!D10)</f>
        <v>0.20129115688869581</v>
      </c>
      <c r="E12" s="14">
        <f>'Raw Data'!E6/AVERAGE('Raw Data'!D10,'Raw Data'!E10)</f>
        <v>0.19989327430480067</v>
      </c>
      <c r="F12" s="14">
        <f>'Raw Data'!F6/AVERAGE('Raw Data'!E10,'Raw Data'!F10)</f>
        <v>0.21261210874298384</v>
      </c>
      <c r="J12" s="18"/>
    </row>
    <row r="13" spans="1:12" ht="15.75">
      <c r="A13" s="6"/>
    </row>
    <row r="14" spans="1:12" ht="15.75">
      <c r="A14" s="6" t="s">
        <v>74</v>
      </c>
      <c r="B14">
        <f>'Raw Data'!B17+'Raw Data'!B18</f>
        <v>943</v>
      </c>
      <c r="C14">
        <f>'Raw Data'!C17+'Raw Data'!C18</f>
        <v>971</v>
      </c>
      <c r="D14">
        <f>'Raw Data'!D17+'Raw Data'!D18</f>
        <v>1039</v>
      </c>
      <c r="E14">
        <f>'Raw Data'!E17+'Raw Data'!E18</f>
        <v>1374</v>
      </c>
      <c r="F14">
        <f>'Raw Data'!F17+'Raw Data'!F18</f>
        <v>1537</v>
      </c>
    </row>
    <row r="15" spans="1:12" ht="15.75">
      <c r="A15" s="6" t="s">
        <v>75</v>
      </c>
      <c r="B15" s="46">
        <f>B14/'Raw Data'!B10</f>
        <v>1.9880254669646245E-2</v>
      </c>
      <c r="C15" s="46">
        <f>C14/'Raw Data'!C10</f>
        <v>1.9913863822805578E-2</v>
      </c>
      <c r="D15" s="46">
        <f>D14/'Raw Data'!D10</f>
        <v>2.0688556579916768E-2</v>
      </c>
      <c r="E15" s="46">
        <f>E14/'Raw Data'!E10</f>
        <v>2.6955447001353657E-2</v>
      </c>
      <c r="F15" s="46">
        <f>F14/'Raw Data'!F10</f>
        <v>3.1269708868227782E-2</v>
      </c>
    </row>
    <row r="16" spans="1:12">
      <c r="A16" s="12" t="s">
        <v>76</v>
      </c>
      <c r="B16" s="13">
        <v>1.1299999999999999</v>
      </c>
      <c r="C16" s="13">
        <v>1.0780000000000001</v>
      </c>
      <c r="D16" s="13">
        <v>1.0189999999999999</v>
      </c>
      <c r="E16" s="13">
        <v>0.96299999999999997</v>
      </c>
      <c r="F16" s="13">
        <v>1.0820000000000001</v>
      </c>
    </row>
    <row r="18" spans="1:6" ht="15.75">
      <c r="A18" s="6" t="s">
        <v>77</v>
      </c>
      <c r="B18" s="47">
        <v>14</v>
      </c>
      <c r="C18" s="47">
        <v>13.8</v>
      </c>
      <c r="D18" s="47">
        <v>14.7</v>
      </c>
      <c r="E18" s="47">
        <v>15.2</v>
      </c>
      <c r="F18" s="47">
        <v>15.2</v>
      </c>
    </row>
    <row r="19" spans="1:6" ht="15.75">
      <c r="A19" s="6" t="s">
        <v>78</v>
      </c>
      <c r="B19" s="47">
        <v>30.2</v>
      </c>
      <c r="C19" s="47">
        <v>28.1</v>
      </c>
      <c r="D19" s="47">
        <v>24.9</v>
      </c>
      <c r="E19" s="47">
        <v>22</v>
      </c>
      <c r="F19" s="47">
        <v>19.8</v>
      </c>
    </row>
    <row r="20" spans="1:6" ht="15.75">
      <c r="A20" s="6" t="s">
        <v>79</v>
      </c>
      <c r="B20" s="47">
        <v>4</v>
      </c>
      <c r="C20" s="47">
        <v>4.0999999999999996</v>
      </c>
      <c r="D20" s="47">
        <v>4.7</v>
      </c>
      <c r="E20" s="47">
        <v>4.3</v>
      </c>
      <c r="F20" s="47">
        <v>4.4000000000000004</v>
      </c>
    </row>
    <row r="22" spans="1:6" ht="15.75">
      <c r="A22" s="6" t="s">
        <v>80</v>
      </c>
      <c r="B22" s="15">
        <f>365/B18</f>
        <v>26.071428571428573</v>
      </c>
      <c r="C22" s="15">
        <f t="shared" ref="C22:F22" si="0">365/C18</f>
        <v>26.44927536231884</v>
      </c>
      <c r="D22" s="15">
        <f t="shared" si="0"/>
        <v>24.829931972789115</v>
      </c>
      <c r="E22" s="15">
        <f t="shared" si="0"/>
        <v>24.013157894736842</v>
      </c>
      <c r="F22" s="15">
        <f t="shared" si="0"/>
        <v>24.013157894736842</v>
      </c>
    </row>
    <row r="23" spans="1:6" ht="15.75">
      <c r="A23" s="6" t="s">
        <v>81</v>
      </c>
      <c r="B23" s="15">
        <f>365/B19</f>
        <v>12.086092715231789</v>
      </c>
      <c r="C23" s="15">
        <f t="shared" ref="C23:F23" si="1">365/C19</f>
        <v>12.98932384341637</v>
      </c>
      <c r="D23" s="15">
        <f t="shared" si="1"/>
        <v>14.658634538152612</v>
      </c>
      <c r="E23" s="15">
        <f t="shared" si="1"/>
        <v>16.59090909090909</v>
      </c>
      <c r="F23" s="15">
        <f t="shared" si="1"/>
        <v>18.434343434343432</v>
      </c>
    </row>
    <row r="24" spans="1:6" ht="15.75">
      <c r="A24" s="6" t="s">
        <v>82</v>
      </c>
      <c r="B24" s="15">
        <f>365/B20</f>
        <v>91.25</v>
      </c>
      <c r="C24" s="15">
        <f t="shared" ref="C24:F24" si="2">365/C20</f>
        <v>89.024390243902445</v>
      </c>
      <c r="D24" s="15">
        <f t="shared" si="2"/>
        <v>77.659574468085097</v>
      </c>
      <c r="E24" s="15">
        <f t="shared" si="2"/>
        <v>84.883720930232556</v>
      </c>
      <c r="F24" s="15">
        <f t="shared" si="2"/>
        <v>82.954545454545453</v>
      </c>
    </row>
    <row r="25" spans="1:6" ht="15.75">
      <c r="A25" s="6" t="s">
        <v>33</v>
      </c>
      <c r="B25" s="15">
        <f>B22+B23-B24</f>
        <v>-53.092478713339638</v>
      </c>
      <c r="C25" s="15">
        <f t="shared" ref="C25:F25" si="3">C22+C23-C24</f>
        <v>-49.585791038167237</v>
      </c>
      <c r="D25" s="15">
        <f t="shared" si="3"/>
        <v>-38.171007957143374</v>
      </c>
      <c r="E25" s="15">
        <f t="shared" si="3"/>
        <v>-44.279653944586627</v>
      </c>
      <c r="F25" s="15">
        <f t="shared" si="3"/>
        <v>-40.507044125465178</v>
      </c>
    </row>
    <row r="26" spans="1:6" ht="15.75">
      <c r="A26" s="6"/>
    </row>
    <row r="27" spans="1:6" ht="15.75">
      <c r="A27" s="6" t="s">
        <v>83</v>
      </c>
      <c r="B27" s="16">
        <f>('Raw Data'!F4/'Raw Data'!B4)^(1/4)-1</f>
        <v>7.5747836377224598E-2</v>
      </c>
    </row>
    <row r="28" spans="1:6" ht="15.75">
      <c r="A28" s="6" t="s">
        <v>84</v>
      </c>
      <c r="B28" s="16">
        <f>('Raw Data'!F5/'Raw Data'!B5)^(1/4)-1</f>
        <v>5.9864861461521812E-2</v>
      </c>
    </row>
    <row r="29" spans="1:6" ht="15.75">
      <c r="A29" s="6" t="s">
        <v>85</v>
      </c>
      <c r="B29" s="16">
        <f>('Raw Data'!F6/'Raw Data'!B6)^(1/4)-1</f>
        <v>7.5548056410646325E-2</v>
      </c>
    </row>
  </sheetData>
  <mergeCells count="1">
    <mergeCell ref="A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0F10-01FE-4342-AAEF-FBBDDC079CE0}">
  <dimension ref="A1:O43"/>
  <sheetViews>
    <sheetView showGridLines="0" tabSelected="1" topLeftCell="A5" workbookViewId="0">
      <selection activeCell="T26" sqref="T26"/>
    </sheetView>
  </sheetViews>
  <sheetFormatPr defaultRowHeight="15"/>
  <cols>
    <col min="1" max="1" width="13.7109375" customWidth="1"/>
  </cols>
  <sheetData>
    <row r="1" spans="1:13" ht="22.5" customHeight="1">
      <c r="A1" s="42" t="s">
        <v>86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33" customHeight="1">
      <c r="A2" s="40" t="s">
        <v>87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4" spans="1:13" ht="15" customHeight="1">
      <c r="A4" s="60"/>
      <c r="B4" s="61" t="s">
        <v>88</v>
      </c>
      <c r="C4" s="61"/>
      <c r="D4" s="61"/>
      <c r="E4" s="62" t="s">
        <v>71</v>
      </c>
      <c r="F4" s="63"/>
      <c r="G4" s="63"/>
      <c r="H4" s="64" t="s">
        <v>47</v>
      </c>
      <c r="I4" s="65"/>
      <c r="J4" s="66"/>
      <c r="K4" s="63" t="s">
        <v>89</v>
      </c>
      <c r="L4" s="63"/>
      <c r="M4" s="67"/>
    </row>
    <row r="5" spans="1:13" ht="15" customHeight="1">
      <c r="A5" s="68"/>
      <c r="B5" s="69" t="str">
        <f>TEXT('Raw Data'!F4,"₹#,##0")&amp;" Cr"</f>
        <v>₹60,680 Cr</v>
      </c>
      <c r="C5" s="69"/>
      <c r="D5" s="69"/>
      <c r="E5" s="70">
        <f>Ratios!F8</f>
        <v>0.2354812129202373</v>
      </c>
      <c r="F5" s="71"/>
      <c r="G5" s="71"/>
      <c r="H5" s="72" t="str">
        <f>TEXT('Raw Data'!F6,"₹#,##0")&amp;" Cr"</f>
        <v>₹10,644 Cr</v>
      </c>
      <c r="I5" s="73"/>
      <c r="J5" s="73"/>
      <c r="K5" s="70">
        <f>Ratios!F16</f>
        <v>1.0820000000000001</v>
      </c>
      <c r="L5" s="71"/>
      <c r="M5" s="74"/>
    </row>
    <row r="6" spans="1:13" ht="15" customHeight="1">
      <c r="A6" s="75"/>
      <c r="B6" s="76"/>
      <c r="C6" s="76"/>
      <c r="D6" s="76"/>
      <c r="E6" s="77"/>
      <c r="F6" s="78"/>
      <c r="G6" s="78"/>
      <c r="H6" s="79"/>
      <c r="I6" s="80"/>
      <c r="J6" s="80"/>
      <c r="K6" s="77"/>
      <c r="L6" s="78"/>
      <c r="M6" s="81"/>
    </row>
    <row r="7" spans="1:13">
      <c r="B7" s="22"/>
    </row>
    <row r="34" spans="1:15" ht="18.75" customHeight="1">
      <c r="A34" s="82" t="s">
        <v>90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4"/>
      <c r="O34" s="59"/>
    </row>
    <row r="35" spans="1:15" ht="15" customHeight="1">
      <c r="A35" s="8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7"/>
    </row>
    <row r="36" spans="1:15" ht="15" customHeight="1">
      <c r="A36" s="88"/>
      <c r="B36" s="89" t="s">
        <v>91</v>
      </c>
      <c r="C36" s="90"/>
      <c r="D36" s="90"/>
      <c r="E36" s="90"/>
      <c r="F36" s="91" t="s">
        <v>92</v>
      </c>
      <c r="G36" s="92"/>
      <c r="H36" s="92"/>
      <c r="I36" s="92"/>
      <c r="J36" s="91" t="s">
        <v>93</v>
      </c>
      <c r="K36" s="92"/>
      <c r="L36" s="92"/>
      <c r="M36" s="92"/>
      <c r="N36" s="93"/>
    </row>
    <row r="37" spans="1:15" ht="15" customHeight="1">
      <c r="A37" s="94"/>
      <c r="B37" s="95" t="s">
        <v>94</v>
      </c>
      <c r="C37" s="96"/>
      <c r="D37" s="96"/>
      <c r="E37" s="96"/>
      <c r="F37" s="97" t="s">
        <v>95</v>
      </c>
      <c r="G37" s="98"/>
      <c r="H37" s="98"/>
      <c r="I37" s="98"/>
      <c r="J37" s="99" t="s">
        <v>96</v>
      </c>
      <c r="K37" s="100"/>
      <c r="L37" s="100"/>
      <c r="M37" s="100"/>
      <c r="N37" s="101"/>
    </row>
    <row r="38" spans="1:15">
      <c r="A38" s="94"/>
      <c r="B38" s="96"/>
      <c r="C38" s="96"/>
      <c r="D38" s="96"/>
      <c r="E38" s="96"/>
      <c r="F38" s="102"/>
      <c r="G38" s="98"/>
      <c r="H38" s="98"/>
      <c r="I38" s="98"/>
      <c r="J38" s="103"/>
      <c r="K38" s="100"/>
      <c r="L38" s="100"/>
      <c r="M38" s="100"/>
      <c r="N38" s="101"/>
    </row>
    <row r="39" spans="1:15">
      <c r="A39" s="75"/>
      <c r="B39" s="104"/>
      <c r="C39" s="104"/>
      <c r="D39" s="104"/>
      <c r="E39" s="104"/>
      <c r="F39" s="105"/>
      <c r="G39" s="106"/>
      <c r="H39" s="106"/>
      <c r="I39" s="106"/>
      <c r="J39" s="107"/>
      <c r="K39" s="108"/>
      <c r="L39" s="108"/>
      <c r="M39" s="108"/>
      <c r="N39" s="109"/>
    </row>
    <row r="40" spans="1:15">
      <c r="B40" s="23"/>
      <c r="C40" s="23"/>
      <c r="D40" s="23"/>
      <c r="E40" s="23"/>
    </row>
    <row r="43" spans="1:15">
      <c r="N43" s="2"/>
    </row>
  </sheetData>
  <mergeCells count="19">
    <mergeCell ref="A34:N35"/>
    <mergeCell ref="A5:A6"/>
    <mergeCell ref="A37:A39"/>
    <mergeCell ref="K4:M4"/>
    <mergeCell ref="K5:M6"/>
    <mergeCell ref="A2:M2"/>
    <mergeCell ref="A1:M1"/>
    <mergeCell ref="B4:D4"/>
    <mergeCell ref="B5:D6"/>
    <mergeCell ref="E4:G4"/>
    <mergeCell ref="E5:G6"/>
    <mergeCell ref="H5:J6"/>
    <mergeCell ref="H4:J4"/>
    <mergeCell ref="J37:N39"/>
    <mergeCell ref="J36:N36"/>
    <mergeCell ref="B36:E36"/>
    <mergeCell ref="B37:E39"/>
    <mergeCell ref="F36:I36"/>
    <mergeCell ref="F37:I3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73C2-85DC-42B3-9864-E58DD09590DA}">
  <dimension ref="A1:F10"/>
  <sheetViews>
    <sheetView topLeftCell="A3" workbookViewId="0">
      <selection activeCell="G9" sqref="G9"/>
    </sheetView>
  </sheetViews>
  <sheetFormatPr defaultRowHeight="15"/>
  <cols>
    <col min="1" max="1" width="18" customWidth="1"/>
    <col min="2" max="2" width="50" customWidth="1"/>
    <col min="3" max="3" width="47.28515625" customWidth="1"/>
    <col min="4" max="4" width="34.85546875" customWidth="1"/>
  </cols>
  <sheetData>
    <row r="1" spans="1:6">
      <c r="A1" s="26" t="s">
        <v>97</v>
      </c>
      <c r="B1" s="27"/>
      <c r="C1" s="27"/>
      <c r="D1" s="27"/>
    </row>
    <row r="2" spans="1:6">
      <c r="A2" s="27"/>
      <c r="B2" s="27"/>
      <c r="C2" s="27"/>
      <c r="D2" s="27"/>
    </row>
    <row r="3" spans="1:6" ht="27" customHeight="1">
      <c r="A3" s="2" t="s">
        <v>98</v>
      </c>
      <c r="B3" s="2" t="s">
        <v>99</v>
      </c>
      <c r="C3" s="2" t="s">
        <v>100</v>
      </c>
      <c r="D3" s="2" t="s">
        <v>101</v>
      </c>
      <c r="E3" s="2"/>
    </row>
    <row r="4" spans="1:6" ht="48.75" customHeight="1">
      <c r="A4" s="6" t="s">
        <v>91</v>
      </c>
      <c r="B4" s="25" t="s">
        <v>102</v>
      </c>
      <c r="C4" s="20" t="s">
        <v>103</v>
      </c>
      <c r="D4" s="19" t="s">
        <v>104</v>
      </c>
    </row>
    <row r="5" spans="1:6" ht="28.5" customHeight="1">
      <c r="A5" s="6" t="s">
        <v>92</v>
      </c>
      <c r="B5" s="20" t="s">
        <v>105</v>
      </c>
      <c r="C5" s="19" t="s">
        <v>106</v>
      </c>
      <c r="D5" s="19" t="s">
        <v>107</v>
      </c>
    </row>
    <row r="6" spans="1:6" ht="46.5" customHeight="1">
      <c r="A6" s="6" t="s">
        <v>108</v>
      </c>
      <c r="B6" s="20" t="s">
        <v>109</v>
      </c>
      <c r="C6" s="25" t="s">
        <v>110</v>
      </c>
      <c r="D6" s="19" t="s">
        <v>111</v>
      </c>
    </row>
    <row r="7" spans="1:6" ht="44.25" customHeight="1">
      <c r="A7" s="6" t="s">
        <v>112</v>
      </c>
      <c r="B7" s="20" t="s">
        <v>113</v>
      </c>
      <c r="C7" s="25" t="s">
        <v>114</v>
      </c>
      <c r="D7" s="19" t="s">
        <v>115</v>
      </c>
      <c r="F7" s="21"/>
    </row>
    <row r="8" spans="1:6" ht="71.25" customHeight="1">
      <c r="A8" s="6" t="s">
        <v>116</v>
      </c>
      <c r="B8" s="20" t="s">
        <v>117</v>
      </c>
      <c r="C8" s="25" t="s">
        <v>118</v>
      </c>
      <c r="D8" s="19" t="s">
        <v>119</v>
      </c>
    </row>
    <row r="9" spans="1:6" ht="50.25" customHeight="1">
      <c r="A9" s="6" t="s">
        <v>120</v>
      </c>
      <c r="B9" s="20" t="s">
        <v>121</v>
      </c>
      <c r="C9" s="25" t="s">
        <v>122</v>
      </c>
      <c r="D9" s="19" t="s">
        <v>123</v>
      </c>
    </row>
    <row r="10" spans="1:6" ht="28.5" customHeight="1"/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Ankur dixit</cp:lastModifiedBy>
  <cp:revision/>
  <dcterms:created xsi:type="dcterms:W3CDTF">2026-08-20T05:37:00Z</dcterms:created>
  <dcterms:modified xsi:type="dcterms:W3CDTF">2026-08-21T08:31:37Z</dcterms:modified>
  <cp:category/>
  <cp:contentStatus/>
</cp:coreProperties>
</file>